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rafie\Downloads\"/>
    </mc:Choice>
  </mc:AlternateContent>
  <xr:revisionPtr revIDLastSave="0" documentId="13_ncr:1_{FD8B1FA4-D5D6-4D0F-B4D1-14EB55E10AA2}" xr6:coauthVersionLast="47" xr6:coauthVersionMax="47" xr10:uidLastSave="{00000000-0000-0000-0000-000000000000}"/>
  <bookViews>
    <workbookView xWindow="-110" yWindow="-110" windowWidth="22620" windowHeight="13500" tabRatio="760" activeTab="5" xr2:uid="{00000000-000D-0000-FFFF-FFFF00000000}"/>
  </bookViews>
  <sheets>
    <sheet name="Petunjuk Penggunaan" sheetId="1" r:id="rId1"/>
    <sheet name="Master" sheetId="11" state="veryHidden" r:id="rId2"/>
    <sheet name="Sheet Simulasi" sheetId="17" r:id="rId3"/>
    <sheet name="Tegar Avrilia" sheetId="3" r:id="rId4"/>
    <sheet name="HAV Map" sheetId="7" state="veryHidden" r:id="rId5"/>
    <sheet name="Summary" sheetId="18" r:id="rId6"/>
    <sheet name="HAVDiagram" sheetId="19" r:id="rId7"/>
    <sheet name="Condition" sheetId="13" state="veryHidden" r:id="rId8"/>
    <sheet name="HAV" sheetId="12" state="veryHidden" r:id="rId9"/>
    <sheet name="Rumus ALC" sheetId="8" state="veryHidden" r:id="rId10"/>
  </sheets>
  <definedNames>
    <definedName name="_xlnm._FilterDatabase" localSheetId="5" hidden="1">Summary!$A$12:$AU$12</definedName>
    <definedName name="Kategori">Condition!$B$20:$C$27</definedName>
    <definedName name="Kuadran8">Condition!$I$6:$J$21</definedName>
    <definedName name="_xlnm.Print_Area" localSheetId="4">'HAV Map'!$A$1:$G$22</definedName>
    <definedName name="_xlnm.Print_Area" localSheetId="0">'Petunjuk Penggunaan'!$A$1:$O$29</definedName>
    <definedName name="_xlnm.Print_Area" localSheetId="2">'Sheet Simulasi'!$A$1:$O$40</definedName>
    <definedName name="_xlnm.Print_Area" localSheetId="5">Summary!$A$1:$AU$77</definedName>
    <definedName name="_xlnm.Print_Area" localSheetId="3">'Tegar Avrilia'!$A$1:$Y$37</definedName>
    <definedName name="TabelC8">Condition!$B$14:$C$18</definedName>
    <definedName name="TabelR8">Condition!$B$7:$F$11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13" i="18" l="1"/>
  <c r="AD13" i="18"/>
  <c r="AC13" i="18"/>
  <c r="AB13" i="18"/>
  <c r="AA13" i="18"/>
  <c r="Z13" i="18"/>
  <c r="Y13" i="18"/>
  <c r="X13" i="18"/>
  <c r="T13" i="18"/>
  <c r="S13" i="18"/>
  <c r="R13" i="18"/>
  <c r="Y11" i="18" l="1"/>
  <c r="X11" i="18"/>
  <c r="Z11" i="18"/>
  <c r="Z6" i="3" l="1"/>
  <c r="Z7" i="3" s="1"/>
  <c r="N11" i="3" s="1"/>
  <c r="O24" i="17"/>
  <c r="L24" i="17"/>
  <c r="H24" i="17"/>
  <c r="D24" i="17"/>
  <c r="O14" i="17"/>
  <c r="L14" i="17"/>
  <c r="H14" i="17"/>
  <c r="D14" i="17"/>
  <c r="F22" i="13"/>
  <c r="F21" i="13"/>
  <c r="F20" i="13"/>
  <c r="F19" i="13"/>
  <c r="F17" i="13"/>
  <c r="F15" i="13"/>
  <c r="Z10" i="3" l="1"/>
  <c r="Z11" i="3"/>
  <c r="S6" i="11"/>
  <c r="Q6" i="11"/>
  <c r="S5" i="11"/>
  <c r="Q5" i="11"/>
  <c r="S4" i="11"/>
  <c r="Q4" i="11"/>
  <c r="S3" i="11"/>
  <c r="Q3" i="11"/>
  <c r="S2" i="11"/>
  <c r="Q2" i="11"/>
  <c r="M41" i="8"/>
  <c r="P19" i="8"/>
  <c r="P20" i="8"/>
  <c r="P21" i="8"/>
  <c r="P22" i="8"/>
  <c r="P23" i="8"/>
  <c r="P24" i="8"/>
  <c r="P25" i="8"/>
  <c r="P26" i="8"/>
  <c r="P27" i="8"/>
  <c r="P18" i="8"/>
  <c r="I40" i="8"/>
  <c r="L40" i="8"/>
  <c r="H40" i="8"/>
  <c r="E28" i="8"/>
  <c r="B28" i="8"/>
  <c r="Z12" i="3" l="1"/>
</calcChain>
</file>

<file path=xl/sharedStrings.xml><?xml version="1.0" encoding="utf-8"?>
<sst xmlns="http://schemas.openxmlformats.org/spreadsheetml/2006/main" count="618" uniqueCount="322">
  <si>
    <t xml:space="preserve">1. </t>
  </si>
  <si>
    <t xml:space="preserve">2. </t>
  </si>
  <si>
    <t>2.</t>
  </si>
  <si>
    <t>3.</t>
  </si>
  <si>
    <t>4.</t>
  </si>
  <si>
    <t>No</t>
  </si>
  <si>
    <t>Kompetensi</t>
  </si>
  <si>
    <t>Definisi</t>
  </si>
  <si>
    <t>Vision &amp; Business Sense</t>
  </si>
  <si>
    <t>Menunjukkan pemahaman tentang strategi organisasi dan tantangan bisnis di masa datang. Mampu merumuskan strategi organisasi secara jelas dan terukur, dengan memanfaatkan data dan fakta finansial maupun tren global.</t>
  </si>
  <si>
    <t>Konsentrasi pada kebutuhan pelanggan sampai kepada tingkatan 'customer delight‘ . Tidak hanya mengatasi keluhan pelanggan tetapi secara aktif mencari umpan balik dan mengembangkan ide-ide perbaikan, dalam rangka membangun hubungan serta mengantisipasi perubahan kebutuhan pelanggan.</t>
  </si>
  <si>
    <t>Customer Focus</t>
  </si>
  <si>
    <t>Memiliki ketrampilan membangun hubungan yang konstruktif dan efektif. Mampu memengaruhi dengan memanfaatkan data, fakta, dan media, peka terhadap kebutuhan orang lain, serta terampil dalam mengelola emosi.</t>
  </si>
  <si>
    <t>Memanfaatkan informasi dari berbagai sumber untuk mengidentifikasi akar permasalahan dan mengusulkan alternatif solusi. Mampu mengajukan solusi yang cepat dan tepat, dengan mempertimbangkan berbagai peluang dan risikonya, serta mengantisipasi permasalahan yang mungkin muncul.</t>
  </si>
  <si>
    <t>Interpersonal Skill</t>
  </si>
  <si>
    <t>Analysis &amp; Judgment</t>
  </si>
  <si>
    <t>Tetap fokus pada goal organisasi dengan menurunkannya ke dalam obyektif dan rencana kerja, memanfaatkan berbagai sumber daya di dalam maupun luar organisasi, serta mengevaluasi pencapaiannya.</t>
  </si>
  <si>
    <t>Planning &amp; Driving Action</t>
  </si>
  <si>
    <t>Menjalani peran sebagai pemimpin dengan memotivasi dan mengembangkan bawahan, dalam rangka membangun engagement serta mempersiapkan calon penerusnya (kaderisasi).</t>
  </si>
  <si>
    <t>Leading &amp; Motivating</t>
  </si>
  <si>
    <t>Membina kerjasama yang efektif dengan berbagai pihak dalam rangka penyelesaian tugas, dengan memahami kebutuhan orang lain, bersedia untuk berbagi, serta saling memberikan dukungan.</t>
  </si>
  <si>
    <t>Teamwork</t>
  </si>
  <si>
    <t>Dengan cepat mempelajari berbagai hal baru dan menetapkan stretched target dalam rangka mencapai kinerja unggul. Tidak takut memutuskan permasalahan-permasalahan genting dengan mempertimbangkan berbagai aspek yang menjadi kewenangannya, serta bertanggungjawab atas kesalahannya.</t>
  </si>
  <si>
    <t>Drive &amp; Courage</t>
  </si>
  <si>
    <r>
      <t xml:space="preserve">Penilaian setiap kompetensi menggunakan konsep kontinum pada setiap golongan, dengan penilaian: </t>
    </r>
    <r>
      <rPr>
        <b/>
        <sz val="10"/>
        <color theme="1"/>
        <rFont val="Calibri"/>
        <family val="2"/>
        <scheme val="minor"/>
      </rPr>
      <t>Need Improvement (1), Effective (3), dan Highly Effective (5)</t>
    </r>
  </si>
  <si>
    <r>
      <t>Dimungkinkan untuk memberikan penilaian kompetensi dengan besaran kelipatan</t>
    </r>
    <r>
      <rPr>
        <b/>
        <sz val="10"/>
        <color theme="1"/>
        <rFont val="Calibri"/>
        <family val="2"/>
        <scheme val="minor"/>
      </rPr>
      <t xml:space="preserve"> 0.5</t>
    </r>
    <r>
      <rPr>
        <sz val="10"/>
        <color theme="1"/>
        <rFont val="Calibri"/>
        <family val="2"/>
        <scheme val="minor"/>
      </rPr>
      <t xml:space="preserve"> (misalnya: 1.5, 2.5, 3.5, atau 4.5).</t>
    </r>
  </si>
  <si>
    <r>
      <t>Penilaian kompetensi harus didukung dengan</t>
    </r>
    <r>
      <rPr>
        <b/>
        <i/>
        <sz val="10"/>
        <color theme="1"/>
        <rFont val="Calibri"/>
        <family val="2"/>
        <scheme val="minor"/>
      </rPr>
      <t xml:space="preserve"> evidence</t>
    </r>
    <r>
      <rPr>
        <sz val="10"/>
        <color theme="1"/>
        <rFont val="Calibri"/>
        <family val="2"/>
        <scheme val="minor"/>
      </rPr>
      <t xml:space="preserve"> (bukti perilaku yang muncul)</t>
    </r>
  </si>
  <si>
    <t>ID</t>
  </si>
  <si>
    <t>INDIVIDUAL SCORE</t>
  </si>
  <si>
    <t>Date of Birth</t>
  </si>
  <si>
    <t>Sub Gol</t>
  </si>
  <si>
    <t>:</t>
  </si>
  <si>
    <t>PK (last 3 years)</t>
  </si>
  <si>
    <t>Evidence :</t>
  </si>
  <si>
    <t xml:space="preserve">Interpersonall Skill </t>
  </si>
  <si>
    <t>Date</t>
  </si>
  <si>
    <t>Date of Review</t>
  </si>
  <si>
    <t>HAV Committee</t>
  </si>
  <si>
    <t xml:space="preserve">4. </t>
  </si>
  <si>
    <t>Key Behavior :</t>
  </si>
  <si>
    <t>Score :</t>
  </si>
  <si>
    <t>User Score</t>
  </si>
  <si>
    <t>1. Memahami kebutuhan para stakeholder, baik next process maupun end user di unit kerjanya (seksi)</t>
  </si>
  <si>
    <t>3. Dengan sesegera mungkin merespon perubahan kebutuhan stakeholder di unit kerjanya (seksi)</t>
  </si>
  <si>
    <t>2. Mengantisipasi perubahan kebutuhan stakeholder di unit kerjanya (seksi)</t>
  </si>
  <si>
    <t>1. Memahami inisiatif kunci (key initiatives) departemen dan unit kerja (contoh: menerjemahkan activity plan departemen ke dalam activity plan unit kerjanya)</t>
  </si>
  <si>
    <t>2. Menemukenali peluang dan risiko bisnis di unit kerja (seksi) dalam 1 tahun ke depan, kemudian memanfaatkan berbagai peluang jangka pendek yang berkesinambungan sebagai cara untuk mengatasinya</t>
  </si>
  <si>
    <t>3. Menyusun dan memastikan anggaran sudah mempertimbangkan perhitungan cost and benefit</t>
  </si>
  <si>
    <t>4. Membina hubungan dengan para stakeholder, baik next process maupun end user di unit kerjanya (seksi).</t>
  </si>
  <si>
    <t>5. Melakukan layanan pelanggan yang paling unggul (customer delight) di unit kerjanya (seksi).</t>
  </si>
  <si>
    <t>6. Mengusulkan ide improvement untuk mencapai standar kualitas layanan paling unggul bagi pelanggan (customer delight) yang berkaitan dengan unit kerjanya (seksi).</t>
  </si>
  <si>
    <t>7. Memonitor tingkat kepuasan pelanggan (contoh : membuat langkah pencegahan agar masalah tidak terulang) pada lingkup unit kerjanya (seksi).</t>
  </si>
  <si>
    <t>1. Membangun hubungan yang konstruktif dan efektif dengan para rekan kerja, atasan, dan bawahan untuk mendukung kinerja unit kerjanya (seksi).</t>
  </si>
  <si>
    <t>2. Meyakinkan rekan kerja, atasan langsung, dan departemen/unit kerja lain, dengan menggunakan berbagai data, fakta, dan media yang mendukung argumen/idenya.</t>
  </si>
  <si>
    <t>3. Mengelola emosi dalam menghadapi permasalahan di lingkup kerjanya, hubungan dengan bawahan dan atasan langsung.</t>
  </si>
  <si>
    <t>4. Peka terhadap kebutuhan bawahan dan atasan yang berada pada unit kerjanya (seksi).</t>
  </si>
  <si>
    <t>1. Menganalisa permasalahan secara sistematis (misalnya bisa menggunakan satu atau lebih teknik analisis problem solving) didukung dengan data-data yang relevan untuk mengidentifikasi akar permasalahan dengan tepat di dalam unit kerjanya (seksi)</t>
  </si>
  <si>
    <t>2. Mengusulkan alternatif solusi dengan mempertimbangkan berbagai peluang dan risikonya dalam lingkup unit kerjanya (seksi)</t>
  </si>
  <si>
    <t>3. Mengajukan solusi yang cepat dan tepat untuk permasalahan dalam lingkup unit kerjanya (seksi)</t>
  </si>
  <si>
    <t>4. Mengantisipasi permasalahan yang akan muncul dalam lingkup unit kerjanya (seksi)</t>
  </si>
  <si>
    <t>1. Menerjemahkan activity plan Departemen ke dalam activity plan unit kerjanya (seksi).</t>
  </si>
  <si>
    <t>2. Menyelaraskan activity plan seksi dengan goal organisasi dan activity plan departemen.</t>
  </si>
  <si>
    <t>3. Mengevaluasi pencapaian Key Performance Indicator (KPI) unit kerja (seksi) secara berkala melalui siklus PDCA (Plan-Do-Check-Action).</t>
  </si>
  <si>
    <t>4. Mengindentifikasi dan memanfaatkan sumber daya baik di dalam maupun di luar organisasi sesuai kewenangannya di dalam unit kerja (seksi).</t>
  </si>
  <si>
    <t>5. Menyusun activity plan dengan melibatkan berbagai sumber daya yang tersedia baik di dalam maupun lintas unit kerja dan departemennya.</t>
  </si>
  <si>
    <t>5. Memberikan apresiasi dan recognition bagi karyawan yang berprestasi di unit kerjanya (seksi)</t>
  </si>
  <si>
    <t>4. Memberikan coaching, mentoring, dan umpan balik pada saat yang tepat untuk membantu bawahan di unit kerjanya (seksi) dalam menyelesaikan tugas-tugas pentingnya</t>
  </si>
  <si>
    <t>3. Memberikan tugas dan beban kerja optimal sesuai dengan potensi bawahan</t>
  </si>
  <si>
    <t>2. Mendelegasikan tugas-tugas sesuai dengan potensi bawahan dalam lingkup unit kerjanya (seksi)</t>
  </si>
  <si>
    <t>1. Memetakan kebutuhan kompetensi bawahan dalam unit kerjanya (seksi) untuk mengeksekusi strategi organisasi</t>
  </si>
  <si>
    <t>6. Mendorong seluruh karyawan yang ada di dalam unit kerjanya (seksi) untuk berani mengambil risiko</t>
  </si>
  <si>
    <t>10. Mengelola perubahan pada tingkat unit kerja (seksi) (contoh : beradaptasi dengan perubahan yang ditetapkan baik untuk dirinya maupun tim, khususnya pada area teknis unit kerjanya)</t>
  </si>
  <si>
    <t>9. Membangun suasana kerja yang positif bagi bawahannya dalam rangka membangun engagement (contoh : mendengarkan ide-ide bawahan, membangun kepercayaan)</t>
  </si>
  <si>
    <t>8. Melakukan perilaku-perilaku yang sesuai dengan Catur Dharma dan atau operating values dalam kapasitasnya sebagai pemimpin unit kerja (seksi)</t>
  </si>
  <si>
    <t>7. Melakukan pengembangan kader penerus kepemimpinannya, dalam hal ini calon penggantinya di unit kerjanya (seksi)</t>
  </si>
  <si>
    <t>1. Berkomitmen terhadap keputusan yang sudah diambil oleh departemen</t>
  </si>
  <si>
    <t>2. Memberikan dukungan semangat dan moril kepada anggota kelompoknya di dalam unit kerjanya (seksi)</t>
  </si>
  <si>
    <t>3. Bersedia untuk berbagi (contoh : memberikan informasi atau sumber daya) dengan rekan kerja di dalam unit kerjanya (seksi)</t>
  </si>
  <si>
    <t>4. Bekerja sama dengan siapa saja walaupun berbeda budaya, usia, gender, dan departemen</t>
  </si>
  <si>
    <t>5. Memahami kebutuhan unit kerja lain yang berkaitan dengan unit kerjanya (seksi)</t>
  </si>
  <si>
    <t>6. Membina kerjasama yang efektif pada lintas unit kerja (seksi)</t>
  </si>
  <si>
    <t>7. Mendapatkan dukungan dari unit kerja (seksi) lain dalam penyelesaian tugas lintas unit kerja (seksi)</t>
  </si>
  <si>
    <t>1. Menuntaskan pekerjaan dalam unit kerjanya (seksi) meskipun ada hambatan</t>
  </si>
  <si>
    <t>2. Membuat keputusan yang mempertimbangkan aspek-aspek yang menjadi kewenangannya</t>
  </si>
  <si>
    <t>3. Menetapkan target yang lebih tinggi (stretched target) dari sebelumnya yang pernah dicapai untuk unit kerjanya (seksi)</t>
  </si>
  <si>
    <t>4. Mengambil risiko untuk memutuskan permasalahan-permasalahan genting yang terkait dengan operasional unit kerjanya (seksi) (contoh : menerapkan kebijakan tidak populer, memberikan sanksi, memberhentikan, dan lain-lain)</t>
  </si>
  <si>
    <t>5. Melakukan cara-cara di luar kebiasaan (improvement/inovasi) dalam mencapai tujuan unit kerjanya (seksi)</t>
  </si>
  <si>
    <t>6. Bertanggungjawab atas kesalahan yang pernah dibuat di dalam unit kerjanya (seksi)</t>
  </si>
  <si>
    <t>7. Dengan cepat mempelajari pengetahuan, keterampilan, dan budaya baru untuk mengantisipasi peluang dan risiko unit kerja dan/atau departemen ke depan</t>
  </si>
  <si>
    <t>Score Summary</t>
  </si>
  <si>
    <t>Company</t>
  </si>
  <si>
    <t>Division</t>
  </si>
  <si>
    <t>Department</t>
  </si>
  <si>
    <t>Name</t>
  </si>
  <si>
    <t>Total Score</t>
  </si>
  <si>
    <t>Total Score
(%)</t>
  </si>
  <si>
    <t>Kolom HAV</t>
  </si>
  <si>
    <t>Evidence ALC</t>
  </si>
  <si>
    <t>Astra Leadership Competencies (ALC) Score</t>
  </si>
  <si>
    <r>
      <t xml:space="preserve">Penilaian kompetensi mengacu kepada Kamus Kompetensi </t>
    </r>
    <r>
      <rPr>
        <b/>
        <i/>
        <sz val="10"/>
        <color theme="1"/>
        <rFont val="Calibri"/>
        <family val="2"/>
        <scheme val="minor"/>
      </rPr>
      <t>Astra Leadership Competencies</t>
    </r>
    <r>
      <rPr>
        <sz val="10"/>
        <color theme="1"/>
        <rFont val="Calibri"/>
        <family val="2"/>
        <scheme val="minor"/>
      </rPr>
      <t xml:space="preserve"> </t>
    </r>
    <r>
      <rPr>
        <b/>
        <sz val="10"/>
        <color theme="1"/>
        <rFont val="Calibri"/>
        <family val="2"/>
        <scheme val="minor"/>
      </rPr>
      <t>(ALC)</t>
    </r>
  </si>
  <si>
    <t>Baris HAV</t>
  </si>
  <si>
    <t>Kuadran HAV</t>
  </si>
  <si>
    <t>HAV Mapping</t>
  </si>
  <si>
    <t>2. Future Star</t>
  </si>
  <si>
    <t>1. STAR</t>
  </si>
  <si>
    <t>3. Future Star</t>
  </si>
  <si>
    <t>4. Potential Candidate</t>
  </si>
  <si>
    <t>5. Raw Diamond</t>
  </si>
  <si>
    <t>6. Candidate</t>
  </si>
  <si>
    <t>7. Top Performer</t>
  </si>
  <si>
    <t>8. Strong Performer</t>
  </si>
  <si>
    <t>9. Career Person</t>
  </si>
  <si>
    <t>10. Most Unfit Employee</t>
  </si>
  <si>
    <t>11. Unfit Employee</t>
  </si>
  <si>
    <t>12. Problem Employee</t>
  </si>
  <si>
    <t>13. Maximal Contributor</t>
  </si>
  <si>
    <t>14. Contributor</t>
  </si>
  <si>
    <t>15. Minimal Contributor</t>
  </si>
  <si>
    <t>16. Deadwood</t>
  </si>
  <si>
    <t>OPSI</t>
  </si>
  <si>
    <t>Average score, tidak memperhitungkan nilai N/A (tidak jadi pembagi)</t>
  </si>
  <si>
    <t>Mempertimbangkan N/A  yang menjadi nilai pengurang</t>
  </si>
  <si>
    <t>Memberikan notifikasi jika ada score yang N/A (tetap di judge oleh HC)</t>
  </si>
  <si>
    <t>SIMULASI</t>
  </si>
  <si>
    <t>KB1</t>
  </si>
  <si>
    <t>KB2</t>
  </si>
  <si>
    <t>KB3</t>
  </si>
  <si>
    <t>Score</t>
  </si>
  <si>
    <t>LM</t>
  </si>
  <si>
    <t>KB4</t>
  </si>
  <si>
    <t>KB5</t>
  </si>
  <si>
    <t>KB6</t>
  </si>
  <si>
    <t>KB7</t>
  </si>
  <si>
    <t>KB8</t>
  </si>
  <si>
    <t>KB9</t>
  </si>
  <si>
    <t>KB10</t>
  </si>
  <si>
    <t>N/A</t>
  </si>
  <si>
    <t>Pembulatan score</t>
  </si>
  <si>
    <t>1-1.49</t>
  </si>
  <si>
    <t>Pembulatan</t>
  </si>
  <si>
    <t>1.5-1.99</t>
  </si>
  <si>
    <t>1.5</t>
  </si>
  <si>
    <t>2-2.49</t>
  </si>
  <si>
    <t>2.5-2.99</t>
  </si>
  <si>
    <t>2.5</t>
  </si>
  <si>
    <t>3-3.49</t>
  </si>
  <si>
    <t>3.5-3.99</t>
  </si>
  <si>
    <t>3.5</t>
  </si>
  <si>
    <t>4-4.49</t>
  </si>
  <si>
    <t>4.5-4.99</t>
  </si>
  <si>
    <t>4.5</t>
  </si>
  <si>
    <t>v</t>
  </si>
  <si>
    <t>Pengurangan Score</t>
  </si>
  <si>
    <t>% N/A</t>
  </si>
  <si>
    <t>n N/A</t>
  </si>
  <si>
    <t>1. Average score</t>
  </si>
  <si>
    <t>2. Pengurangan N/A</t>
  </si>
  <si>
    <t>A</t>
  </si>
  <si>
    <t>B</t>
  </si>
  <si>
    <t>C</t>
  </si>
  <si>
    <t>E</t>
  </si>
  <si>
    <t>Pemahaman dan wawasan di bidang otomotif membantunya dalam mengelola unit kerjanya, Mampu menerjemahkan visi perusahaan menjadi progam kerja di unitnya tetapi masih bersifat jangka pendek dan menengah, Belum proaktif mencari peluang2 yang dapat meningkatkan performa bisnis</t>
  </si>
  <si>
    <t>Menunjukkan kemampuan untuk melihat situasi sebagai gambaran besar, serta kemampuan untuk membuat strategi jangka panjang comprehensif, Memiliki pemahaman yang komprehensif mengenai bisnis perusahaan</t>
  </si>
  <si>
    <t>Usia</t>
  </si>
  <si>
    <t>Function</t>
  </si>
  <si>
    <t>Rini Adhi A.(45/5D/finance)</t>
  </si>
  <si>
    <t>PERFORMANCE</t>
  </si>
  <si>
    <t>Far Above Target</t>
  </si>
  <si>
    <t>Above Target</t>
  </si>
  <si>
    <t>Meet Target</t>
  </si>
  <si>
    <t>Below Target</t>
  </si>
  <si>
    <t>16. Dead Wood</t>
  </si>
  <si>
    <t>NO</t>
  </si>
  <si>
    <t>NAMA</t>
  </si>
  <si>
    <t>GRADE</t>
  </si>
  <si>
    <t>SUB GRADE</t>
  </si>
  <si>
    <t>COMPANY</t>
  </si>
  <si>
    <t>JOB TITLE</t>
  </si>
  <si>
    <t>DEPARTEMEN</t>
  </si>
  <si>
    <t>DIVISION</t>
  </si>
  <si>
    <t>GROUP</t>
  </si>
  <si>
    <t>LOKASI</t>
  </si>
  <si>
    <t>PEND TERAKHIR</t>
  </si>
  <si>
    <t>TAHUN LULUS</t>
  </si>
  <si>
    <t>JURUSAN</t>
  </si>
  <si>
    <t>UNIVERSITAS</t>
  </si>
  <si>
    <t>DOH</t>
  </si>
  <si>
    <t>SERV YEARS</t>
  </si>
  <si>
    <t>DOB</t>
  </si>
  <si>
    <t>AGE</t>
  </si>
  <si>
    <t>Gol</t>
  </si>
  <si>
    <t>Gol lama</t>
  </si>
  <si>
    <t>-</t>
  </si>
  <si>
    <t>Gol Baru</t>
  </si>
  <si>
    <t>Bln</t>
  </si>
  <si>
    <t>KETERANGAN</t>
  </si>
  <si>
    <t>AA</t>
  </si>
  <si>
    <t>TBC</t>
  </si>
  <si>
    <t>Senior Analyst</t>
  </si>
  <si>
    <t>IR</t>
  </si>
  <si>
    <t>HCSM</t>
  </si>
  <si>
    <t>ASTRA INSURANCE COMPANY</t>
  </si>
  <si>
    <t>Jakarta</t>
  </si>
  <si>
    <t>S1</t>
  </si>
  <si>
    <t>Hukum</t>
  </si>
  <si>
    <t>Universitas Indonesia</t>
  </si>
  <si>
    <t>BB</t>
  </si>
  <si>
    <t>AGR</t>
  </si>
  <si>
    <t>CC</t>
  </si>
  <si>
    <t>AAB</t>
  </si>
  <si>
    <t>AHEME</t>
  </si>
  <si>
    <t>S2</t>
  </si>
  <si>
    <t>DD</t>
  </si>
  <si>
    <t>ACC</t>
  </si>
  <si>
    <t>ASTRA SYSTEM I</t>
  </si>
  <si>
    <t>S3</t>
  </si>
  <si>
    <t>EE</t>
  </si>
  <si>
    <t>AST</t>
  </si>
  <si>
    <t>ASMO III</t>
  </si>
  <si>
    <t>C0</t>
  </si>
  <si>
    <t>C1</t>
  </si>
  <si>
    <t>C2</t>
  </si>
  <si>
    <t>C3</t>
  </si>
  <si>
    <t>STAR</t>
  </si>
  <si>
    <t>R3</t>
  </si>
  <si>
    <t>Future Star</t>
  </si>
  <si>
    <t>R2</t>
  </si>
  <si>
    <t>R1</t>
  </si>
  <si>
    <t>Potential Candidate</t>
  </si>
  <si>
    <t>R0</t>
  </si>
  <si>
    <t>Raw Diamond</t>
  </si>
  <si>
    <t>Candidate</t>
  </si>
  <si>
    <t>Top Performers</t>
  </si>
  <si>
    <t>Strong Performers</t>
  </si>
  <si>
    <t>Career Person</t>
  </si>
  <si>
    <t>Most Unfit Employee</t>
  </si>
  <si>
    <t>Unfit Employee</t>
  </si>
  <si>
    <t>Problem Employee</t>
  </si>
  <si>
    <t>Maximal Contributor</t>
  </si>
  <si>
    <t>Contributor</t>
  </si>
  <si>
    <t>IST</t>
  </si>
  <si>
    <t>Minimal Contributor</t>
  </si>
  <si>
    <t>BS+</t>
  </si>
  <si>
    <t>Deadwood</t>
  </si>
  <si>
    <t>BS</t>
  </si>
  <si>
    <t>B+</t>
  </si>
  <si>
    <t>C+</t>
  </si>
  <si>
    <t>K</t>
  </si>
  <si>
    <t>&gt;=1</t>
  </si>
  <si>
    <t>&gt;=12</t>
  </si>
  <si>
    <t>&gt;=16</t>
  </si>
  <si>
    <t>&gt;=21</t>
  </si>
  <si>
    <t>Baris HAV Original</t>
  </si>
  <si>
    <t>0,00%</t>
  </si>
  <si>
    <t>Full Name             :</t>
  </si>
  <si>
    <t>ID                            :</t>
  </si>
  <si>
    <t>Position                 :</t>
  </si>
  <si>
    <t>Sub Gol                  :</t>
  </si>
  <si>
    <t>Date of Birth        :</t>
  </si>
  <si>
    <t>Divisi</t>
  </si>
  <si>
    <t>Departmen</t>
  </si>
  <si>
    <t xml:space="preserve">5. </t>
  </si>
  <si>
    <t>Strength</t>
  </si>
  <si>
    <t>Area of Improvement</t>
  </si>
  <si>
    <t xml:space="preserve">Usia     </t>
  </si>
  <si>
    <t>IDP</t>
  </si>
  <si>
    <t>ALC 1</t>
  </si>
  <si>
    <t>ALC 2</t>
  </si>
  <si>
    <t>ALC 3</t>
  </si>
  <si>
    <t>IDP 1</t>
  </si>
  <si>
    <t>IDP 2</t>
  </si>
  <si>
    <t>IDP 3</t>
  </si>
  <si>
    <t xml:space="preserve">Keterangan fungsi, divisi departement di sesuaikan dengan masing-masing perusahaan. Jika scope fungsi tidak terakomodir di perusahaan </t>
  </si>
  <si>
    <t>Bapak Ibu, maka silahkan pada keterangan fungsi di isi dengan "-" atau "None"</t>
  </si>
  <si>
    <t>1.</t>
  </si>
  <si>
    <t xml:space="preserve">Full Name  </t>
  </si>
  <si>
    <t xml:space="preserve">ID   </t>
  </si>
  <si>
    <t xml:space="preserve">Fungsi </t>
  </si>
  <si>
    <t xml:space="preserve">Position </t>
  </si>
  <si>
    <t xml:space="preserve">Sub Gol  </t>
  </si>
  <si>
    <t>PENJELASAN HAV</t>
  </si>
  <si>
    <t>Current</t>
  </si>
  <si>
    <t>Promotion Ability to</t>
  </si>
  <si>
    <t>Type of Development</t>
  </si>
  <si>
    <t>Nama</t>
  </si>
  <si>
    <t>Grade</t>
  </si>
  <si>
    <t>Readiness</t>
  </si>
  <si>
    <t>Training</t>
  </si>
  <si>
    <t>Rotasi</t>
  </si>
  <si>
    <t>Mentoring</t>
  </si>
  <si>
    <t>Others</t>
  </si>
  <si>
    <t>Date of Review:</t>
  </si>
  <si>
    <t>HAV Committee:</t>
  </si>
  <si>
    <t>5.</t>
  </si>
  <si>
    <t>6.</t>
  </si>
  <si>
    <t>7.</t>
  </si>
  <si>
    <t>8.</t>
  </si>
  <si>
    <t>Function               :</t>
  </si>
  <si>
    <t>Departement       :</t>
  </si>
  <si>
    <t>Division                 :</t>
  </si>
  <si>
    <t>100,00%</t>
  </si>
  <si>
    <t>Division                                                   :</t>
  </si>
  <si>
    <t>Date                                                        :</t>
  </si>
  <si>
    <t>Join Date</t>
  </si>
  <si>
    <t>31/12/</t>
  </si>
  <si>
    <t>Masa Kerja</t>
  </si>
  <si>
    <t>1. Star</t>
  </si>
  <si>
    <t>Company                                                 :</t>
  </si>
  <si>
    <t>Department                                            :</t>
  </si>
  <si>
    <t>JONI FERNANDO</t>
  </si>
  <si>
    <t>Quality</t>
  </si>
  <si>
    <t>Plant</t>
  </si>
  <si>
    <t>4C</t>
  </si>
  <si>
    <t>9 (Career Person)</t>
  </si>
  <si>
    <t>(JAN 2024)</t>
  </si>
  <si>
    <t>Tegar Avrilia</t>
  </si>
  <si>
    <t>Maintenance</t>
  </si>
  <si>
    <t>MTE</t>
  </si>
  <si>
    <t>Manager</t>
  </si>
  <si>
    <t>10A</t>
  </si>
  <si>
    <t>10,10</t>
  </si>
  <si>
    <t>Tegar Avrilia (Plant; 10A; 33; 10,10)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</si>
</sst>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_(* #,##0_);_(* \(#,##0\);_(* &quot;-&quot;??_);_(@_)"/>
    <numFmt numFmtId="166" formatCode="[$-409]mmm\-yy;@"/>
    <numFmt numFmtId="167" formatCode="[$-409]d\-mmm\-yyyy;@"/>
  </numFmts>
  <fonts count="3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0"/>
      <name val="Frutiger LT Std 45 Light"/>
      <family val="2"/>
    </font>
    <font>
      <sz val="10"/>
      <color theme="0"/>
      <name val="Calibri"/>
      <family val="2"/>
      <scheme val="minor"/>
    </font>
    <font>
      <sz val="10"/>
      <color theme="1"/>
      <name val="Calibri"/>
      <family val="2"/>
      <scheme val="minor"/>
    </font>
    <font>
      <b/>
      <sz val="10"/>
      <color theme="1"/>
      <name val="Calibri"/>
      <family val="2"/>
      <scheme val="minor"/>
    </font>
    <font>
      <b/>
      <i/>
      <sz val="10"/>
      <color theme="1"/>
      <name val="Calibri"/>
      <family val="2"/>
      <scheme val="minor"/>
    </font>
    <font>
      <sz val="10"/>
      <name val="Arial"/>
      <family val="2"/>
    </font>
    <font>
      <i/>
      <sz val="10"/>
      <color theme="1"/>
      <name val="Calibri"/>
      <family val="2"/>
      <scheme val="minor"/>
    </font>
    <font>
      <i/>
      <sz val="9"/>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i/>
      <sz val="8"/>
      <color theme="1"/>
      <name val="Calibri"/>
      <family val="2"/>
      <scheme val="minor"/>
    </font>
    <font>
      <sz val="11"/>
      <name val="Calibri"/>
      <family val="2"/>
      <scheme val="minor"/>
    </font>
    <font>
      <b/>
      <sz val="11"/>
      <name val="Calibri"/>
      <family val="2"/>
      <scheme val="minor"/>
    </font>
    <font>
      <b/>
      <sz val="11"/>
      <color rgb="FFFF0000"/>
      <name val="Calibri"/>
      <family val="2"/>
      <scheme val="minor"/>
    </font>
    <font>
      <b/>
      <sz val="9"/>
      <color theme="1"/>
      <name val="Calibri"/>
      <family val="2"/>
      <scheme val="minor"/>
    </font>
    <font>
      <b/>
      <sz val="12"/>
      <name val="Gill Sans MT"/>
      <family val="2"/>
    </font>
    <font>
      <b/>
      <sz val="14"/>
      <name val="Gill Sans MT"/>
      <family val="2"/>
    </font>
    <font>
      <b/>
      <sz val="11"/>
      <name val="Gill Sans MT"/>
      <family val="2"/>
    </font>
    <font>
      <b/>
      <sz val="10"/>
      <color rgb="FFFF0000"/>
      <name val="Gill Sans MT"/>
      <family val="2"/>
    </font>
    <font>
      <b/>
      <sz val="10"/>
      <color rgb="FFFF0000"/>
      <name val="Arial"/>
      <family val="2"/>
    </font>
    <font>
      <b/>
      <sz val="10"/>
      <name val="Arial"/>
      <family val="2"/>
    </font>
    <font>
      <sz val="8"/>
      <name val="Arial"/>
      <family val="2"/>
    </font>
    <font>
      <b/>
      <sz val="9"/>
      <name val="Calibri"/>
      <family val="2"/>
      <scheme val="minor"/>
    </font>
    <font>
      <sz val="10"/>
      <color rgb="FF3E3E3E"/>
      <name val="Tahoma"/>
      <family val="2"/>
    </font>
    <font>
      <b/>
      <sz val="10"/>
      <color theme="0"/>
      <name val="Arial"/>
      <family val="2"/>
    </font>
    <font>
      <sz val="11"/>
      <color theme="1"/>
      <name val="Calibri"/>
      <family val="2"/>
      <charset val="1"/>
      <scheme val="minor"/>
    </font>
  </fonts>
  <fills count="23">
    <fill>
      <patternFill patternType="none"/>
    </fill>
    <fill>
      <patternFill patternType="gray125"/>
    </fill>
    <fill>
      <patternFill patternType="solid">
        <fgColor theme="3"/>
        <bgColor indexed="64"/>
      </patternFill>
    </fill>
    <fill>
      <patternFill patternType="solid">
        <fgColor them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92D050"/>
        <bgColor indexed="64"/>
      </patternFill>
    </fill>
    <fill>
      <patternFill patternType="solid">
        <fgColor indexed="43"/>
        <bgColor indexed="64"/>
      </patternFill>
    </fill>
    <fill>
      <patternFill patternType="solid">
        <fgColor indexed="50"/>
        <bgColor indexed="64"/>
      </patternFill>
    </fill>
    <fill>
      <patternFill patternType="solid">
        <fgColor indexed="44"/>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0070C0"/>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thin">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diagonal/>
    </border>
  </borders>
  <cellStyleXfs count="8">
    <xf numFmtId="0" fontId="0" fillId="0" borderId="0"/>
    <xf numFmtId="9" fontId="1" fillId="0" borderId="0" applyFont="0" applyFill="0" applyBorder="0" applyAlignment="0" applyProtection="0"/>
    <xf numFmtId="0" fontId="9" fillId="0" borderId="0"/>
    <xf numFmtId="0" fontId="9" fillId="0" borderId="0"/>
    <xf numFmtId="0" fontId="9" fillId="0" borderId="0"/>
    <xf numFmtId="0" fontId="1" fillId="0" borderId="0"/>
    <xf numFmtId="164" fontId="1" fillId="0" borderId="0" applyFont="0" applyFill="0" applyBorder="0" applyAlignment="0" applyProtection="0"/>
    <xf numFmtId="0" fontId="30" fillId="0" borderId="0"/>
  </cellStyleXfs>
  <cellXfs count="424">
    <xf numFmtId="0" fontId="0" fillId="0" borderId="0" xfId="0"/>
    <xf numFmtId="0" fontId="0" fillId="0" borderId="0" xfId="0" applyAlignment="1">
      <alignment horizontal="center"/>
    </xf>
    <xf numFmtId="0" fontId="0" fillId="0" borderId="0" xfId="0" applyAlignment="1">
      <alignment horizontal="left"/>
    </xf>
    <xf numFmtId="0" fontId="3" fillId="0" borderId="0" xfId="0" applyFont="1" applyAlignment="1">
      <alignment horizontal="left"/>
    </xf>
    <xf numFmtId="0" fontId="3" fillId="0" borderId="0" xfId="0" applyFont="1"/>
    <xf numFmtId="0" fontId="3" fillId="0" borderId="0" xfId="0" applyFont="1" applyAlignment="1">
      <alignment horizontal="center"/>
    </xf>
    <xf numFmtId="0" fontId="0" fillId="0" borderId="0" xfId="0" applyAlignment="1">
      <alignment vertical="center"/>
    </xf>
    <xf numFmtId="0" fontId="6" fillId="0" borderId="0" xfId="0" applyFont="1" applyAlignment="1">
      <alignment horizontal="center" vertical="center"/>
    </xf>
    <xf numFmtId="0" fontId="6" fillId="0" borderId="0" xfId="0" applyFont="1" applyAlignment="1">
      <alignment horizontal="center"/>
    </xf>
    <xf numFmtId="0" fontId="5" fillId="2" borderId="1" xfId="0" applyFont="1" applyFill="1" applyBorder="1" applyAlignment="1">
      <alignment horizontal="center" vertical="center"/>
    </xf>
    <xf numFmtId="0" fontId="6" fillId="0" borderId="1" xfId="0" applyFont="1" applyBorder="1" applyAlignment="1">
      <alignment horizontal="center" vertical="center"/>
    </xf>
    <xf numFmtId="0" fontId="0" fillId="0" borderId="1" xfId="0" applyBorder="1"/>
    <xf numFmtId="0" fontId="0" fillId="0" borderId="1" xfId="0" applyBorder="1" applyAlignment="1">
      <alignment horizontal="center"/>
    </xf>
    <xf numFmtId="0" fontId="11" fillId="3" borderId="31" xfId="0" applyFont="1" applyFill="1" applyBorder="1" applyAlignment="1">
      <alignment horizontal="center" vertical="center"/>
    </xf>
    <xf numFmtId="0" fontId="11" fillId="3" borderId="41" xfId="0" applyFont="1" applyFill="1" applyBorder="1" applyAlignment="1">
      <alignment horizontal="center" vertical="center"/>
    </xf>
    <xf numFmtId="0" fontId="0" fillId="0" borderId="0" xfId="0" applyAlignment="1">
      <alignment vertical="top"/>
    </xf>
    <xf numFmtId="0" fontId="15" fillId="0" borderId="0" xfId="0" applyFont="1" applyAlignment="1">
      <alignment vertical="top"/>
    </xf>
    <xf numFmtId="0" fontId="10" fillId="3" borderId="8" xfId="0" applyFont="1" applyFill="1" applyBorder="1" applyAlignment="1">
      <alignment vertical="top" wrapText="1"/>
    </xf>
    <xf numFmtId="0" fontId="10" fillId="3" borderId="0" xfId="0" applyFont="1" applyFill="1" applyAlignment="1">
      <alignment vertical="top" wrapText="1"/>
    </xf>
    <xf numFmtId="0" fontId="10" fillId="3" borderId="17" xfId="0" applyFont="1" applyFill="1" applyBorder="1" applyAlignment="1">
      <alignment vertical="top" wrapText="1"/>
    </xf>
    <xf numFmtId="0" fontId="10" fillId="3" borderId="18" xfId="0" applyFont="1" applyFill="1" applyBorder="1" applyAlignment="1">
      <alignment vertical="top" wrapText="1"/>
    </xf>
    <xf numFmtId="0" fontId="10" fillId="3" borderId="5" xfId="0" applyFont="1" applyFill="1" applyBorder="1" applyAlignment="1">
      <alignment vertical="top" wrapText="1"/>
    </xf>
    <xf numFmtId="0" fontId="10" fillId="3" borderId="6" xfId="0" applyFont="1" applyFill="1" applyBorder="1" applyAlignment="1">
      <alignment vertical="top" wrapText="1"/>
    </xf>
    <xf numFmtId="0" fontId="0" fillId="0" borderId="0" xfId="0" applyAlignment="1">
      <alignment horizontal="center" vertical="top"/>
    </xf>
    <xf numFmtId="0" fontId="15" fillId="0" borderId="0" xfId="0" applyFont="1" applyAlignment="1">
      <alignment vertical="center"/>
    </xf>
    <xf numFmtId="0" fontId="14" fillId="0" borderId="0" xfId="0" applyFont="1" applyAlignment="1">
      <alignment vertical="center" wrapText="1"/>
    </xf>
    <xf numFmtId="0" fontId="13" fillId="0" borderId="0" xfId="0" applyFont="1" applyAlignment="1">
      <alignment horizontal="left" vertical="center" wrapText="1"/>
    </xf>
    <xf numFmtId="0" fontId="13" fillId="0" borderId="0" xfId="0" applyFont="1" applyAlignment="1">
      <alignment vertical="center" wrapText="1"/>
    </xf>
    <xf numFmtId="0" fontId="13" fillId="0" borderId="0" xfId="0" applyFont="1" applyAlignment="1">
      <alignment vertical="center"/>
    </xf>
    <xf numFmtId="0" fontId="0" fillId="7" borderId="1" xfId="0" applyFill="1" applyBorder="1" applyAlignment="1">
      <alignment horizontal="left"/>
    </xf>
    <xf numFmtId="0" fontId="0" fillId="7" borderId="1" xfId="0" applyFill="1" applyBorder="1"/>
    <xf numFmtId="0" fontId="3" fillId="7" borderId="1" xfId="0" applyFont="1" applyFill="1" applyBorder="1" applyAlignment="1">
      <alignment horizontal="left"/>
    </xf>
    <xf numFmtId="0" fontId="3" fillId="7" borderId="1" xfId="0" applyFont="1" applyFill="1" applyBorder="1"/>
    <xf numFmtId="0" fontId="3" fillId="8" borderId="1" xfId="0" applyFont="1" applyFill="1" applyBorder="1"/>
    <xf numFmtId="0" fontId="0" fillId="11" borderId="1" xfId="0" applyFill="1" applyBorder="1" applyAlignment="1">
      <alignment horizontal="left"/>
    </xf>
    <xf numFmtId="0" fontId="3" fillId="11" borderId="1" xfId="0" applyFont="1" applyFill="1" applyBorder="1" applyAlignment="1">
      <alignment horizontal="left"/>
    </xf>
    <xf numFmtId="0" fontId="0" fillId="11" borderId="1" xfId="0" applyFill="1" applyBorder="1"/>
    <xf numFmtId="0" fontId="3" fillId="11" borderId="1" xfId="0" applyFont="1" applyFill="1" applyBorder="1"/>
    <xf numFmtId="0" fontId="0" fillId="12" borderId="1" xfId="0" applyFill="1" applyBorder="1" applyAlignment="1">
      <alignment horizontal="left"/>
    </xf>
    <xf numFmtId="0" fontId="3" fillId="12" borderId="1" xfId="0" applyFont="1" applyFill="1" applyBorder="1" applyAlignment="1">
      <alignment horizontal="left"/>
    </xf>
    <xf numFmtId="0" fontId="0" fillId="12" borderId="1" xfId="0" applyFill="1" applyBorder="1"/>
    <xf numFmtId="0" fontId="3" fillId="12" borderId="1" xfId="0" applyFont="1" applyFill="1" applyBorder="1"/>
    <xf numFmtId="0" fontId="3" fillId="0" borderId="1" xfId="0" applyFont="1" applyBorder="1"/>
    <xf numFmtId="0" fontId="3" fillId="0" borderId="1" xfId="0" applyFont="1" applyBorder="1" applyAlignment="1">
      <alignment horizontal="center"/>
    </xf>
    <xf numFmtId="0" fontId="3" fillId="0" borderId="2" xfId="0" applyFont="1" applyBorder="1"/>
    <xf numFmtId="0" fontId="0" fillId="0" borderId="2" xfId="0" applyBorder="1"/>
    <xf numFmtId="9" fontId="0" fillId="0" borderId="1" xfId="1" applyFont="1" applyBorder="1" applyAlignment="1">
      <alignment horizontal="center"/>
    </xf>
    <xf numFmtId="0" fontId="3" fillId="0" borderId="2" xfId="0" applyFont="1" applyBorder="1" applyAlignment="1">
      <alignment horizontal="center"/>
    </xf>
    <xf numFmtId="0" fontId="0" fillId="0" borderId="2" xfId="0" applyBorder="1" applyAlignment="1">
      <alignment horizontal="center"/>
    </xf>
    <xf numFmtId="0" fontId="18" fillId="0" borderId="0" xfId="0" applyFont="1" applyAlignment="1">
      <alignment horizontal="center"/>
    </xf>
    <xf numFmtId="0" fontId="0" fillId="8" borderId="1" xfId="0" applyFill="1" applyBorder="1" applyAlignment="1">
      <alignment vertical="top"/>
    </xf>
    <xf numFmtId="0" fontId="0" fillId="13" borderId="0" xfId="0" applyFill="1"/>
    <xf numFmtId="0" fontId="9" fillId="0" borderId="0" xfId="3" applyProtection="1">
      <protection locked="0"/>
    </xf>
    <xf numFmtId="0" fontId="24" fillId="0" borderId="0" xfId="3" applyFont="1" applyAlignment="1" applyProtection="1">
      <alignment horizontal="center"/>
      <protection locked="0"/>
    </xf>
    <xf numFmtId="0" fontId="25" fillId="0" borderId="0" xfId="3" applyFont="1" applyProtection="1">
      <protection locked="0"/>
    </xf>
    <xf numFmtId="0" fontId="19" fillId="0" borderId="1" xfId="5" applyFont="1" applyBorder="1" applyAlignment="1">
      <alignment horizontal="right" vertical="top" wrapText="1"/>
    </xf>
    <xf numFmtId="0" fontId="27" fillId="17" borderId="1" xfId="5" applyFont="1" applyFill="1" applyBorder="1" applyAlignment="1">
      <alignment horizontal="center" vertical="top" wrapText="1"/>
    </xf>
    <xf numFmtId="0" fontId="27" fillId="17" borderId="1" xfId="5" applyFont="1" applyFill="1" applyBorder="1" applyAlignment="1">
      <alignment horizontal="left" vertical="top" wrapText="1"/>
    </xf>
    <xf numFmtId="0" fontId="19" fillId="0" borderId="1" xfId="5" applyFont="1" applyBorder="1" applyAlignment="1">
      <alignment horizontal="center" vertical="top"/>
    </xf>
    <xf numFmtId="0" fontId="27" fillId="0" borderId="1" xfId="5" applyFont="1" applyBorder="1" applyAlignment="1">
      <alignment horizontal="center" vertical="top" wrapText="1"/>
    </xf>
    <xf numFmtId="0" fontId="19" fillId="0" borderId="1" xfId="5" applyFont="1" applyBorder="1" applyAlignment="1">
      <alignment horizontal="left" vertical="top" wrapText="1"/>
    </xf>
    <xf numFmtId="0" fontId="19" fillId="0" borderId="1" xfId="5" applyFont="1" applyBorder="1" applyAlignment="1">
      <alignment vertical="top" wrapText="1"/>
    </xf>
    <xf numFmtId="165" fontId="27" fillId="0" borderId="1" xfId="6" quotePrefix="1" applyNumberFormat="1" applyFont="1" applyBorder="1" applyAlignment="1">
      <alignment horizontal="center" vertical="top" wrapText="1"/>
    </xf>
    <xf numFmtId="0" fontId="19" fillId="0" borderId="1" xfId="5" quotePrefix="1" applyFont="1" applyBorder="1" applyAlignment="1">
      <alignment horizontal="center" vertical="top" wrapText="1"/>
    </xf>
    <xf numFmtId="166" fontId="19" fillId="0" borderId="1" xfId="5" applyNumberFormat="1" applyFont="1" applyBorder="1" applyAlignment="1">
      <alignment horizontal="center" vertical="top" wrapText="1"/>
    </xf>
    <xf numFmtId="0" fontId="19" fillId="0" borderId="1" xfId="5" applyFont="1" applyBorder="1" applyAlignment="1">
      <alignment horizontal="center" vertical="top" wrapText="1"/>
    </xf>
    <xf numFmtId="165" fontId="19" fillId="0" borderId="1" xfId="6" applyNumberFormat="1" applyFont="1" applyFill="1" applyBorder="1" applyAlignment="1">
      <alignment horizontal="center" vertical="top" wrapText="1"/>
    </xf>
    <xf numFmtId="0" fontId="12" fillId="0" borderId="0" xfId="5" applyFont="1"/>
    <xf numFmtId="0" fontId="1" fillId="0" borderId="1" xfId="5" applyBorder="1"/>
    <xf numFmtId="0" fontId="12" fillId="0" borderId="1" xfId="5" applyFont="1" applyBorder="1" applyAlignment="1">
      <alignment horizontal="left"/>
    </xf>
    <xf numFmtId="167" fontId="12" fillId="0" borderId="1" xfId="5" applyNumberFormat="1" applyFont="1" applyBorder="1" applyAlignment="1">
      <alignment horizontal="left"/>
    </xf>
    <xf numFmtId="1" fontId="12" fillId="0" borderId="1" xfId="5" applyNumberFormat="1" applyFont="1" applyBorder="1" applyAlignment="1">
      <alignment horizontal="left"/>
    </xf>
    <xf numFmtId="166" fontId="12" fillId="0" borderId="1" xfId="5" applyNumberFormat="1" applyFont="1" applyBorder="1" applyAlignment="1">
      <alignment horizontal="left"/>
    </xf>
    <xf numFmtId="165" fontId="12" fillId="0" borderId="1" xfId="5" applyNumberFormat="1" applyFont="1" applyBorder="1" applyAlignment="1">
      <alignment horizontal="left"/>
    </xf>
    <xf numFmtId="17" fontId="12" fillId="0" borderId="1" xfId="5" applyNumberFormat="1" applyFont="1" applyBorder="1" applyAlignment="1">
      <alignment horizontal="left"/>
    </xf>
    <xf numFmtId="0" fontId="12" fillId="0" borderId="0" xfId="5" applyFont="1" applyAlignment="1">
      <alignment horizontal="left"/>
    </xf>
    <xf numFmtId="0" fontId="1" fillId="0" borderId="0" xfId="5"/>
    <xf numFmtId="0" fontId="28" fillId="0" borderId="0" xfId="4" applyFont="1" applyAlignment="1">
      <alignment horizontal="left" indent="1"/>
    </xf>
    <xf numFmtId="0" fontId="25" fillId="18" borderId="1" xfId="3" applyFont="1" applyFill="1" applyBorder="1" applyAlignment="1">
      <alignment horizontal="center"/>
    </xf>
    <xf numFmtId="0" fontId="25" fillId="19" borderId="1" xfId="3" applyFont="1" applyFill="1" applyBorder="1" applyAlignment="1">
      <alignment horizontal="center"/>
    </xf>
    <xf numFmtId="0" fontId="9" fillId="0" borderId="0" xfId="3"/>
    <xf numFmtId="0" fontId="9" fillId="0" borderId="0" xfId="3" applyAlignment="1">
      <alignment horizontal="center"/>
    </xf>
    <xf numFmtId="0" fontId="9" fillId="18" borderId="1" xfId="3" applyFill="1" applyBorder="1"/>
    <xf numFmtId="0" fontId="9" fillId="19" borderId="1" xfId="3" applyFill="1" applyBorder="1"/>
    <xf numFmtId="0" fontId="9" fillId="0" borderId="1" xfId="3" applyBorder="1"/>
    <xf numFmtId="0" fontId="9" fillId="0" borderId="1" xfId="4" applyBorder="1"/>
    <xf numFmtId="0" fontId="9" fillId="0" borderId="1" xfId="3" applyBorder="1" applyAlignment="1">
      <alignment vertical="center"/>
    </xf>
    <xf numFmtId="0" fontId="9" fillId="0" borderId="0" xfId="3" applyAlignment="1">
      <alignment vertical="center"/>
    </xf>
    <xf numFmtId="0" fontId="9" fillId="0" borderId="1" xfId="3" applyBorder="1" applyAlignment="1">
      <alignment horizontal="left" vertical="center"/>
    </xf>
    <xf numFmtId="0" fontId="9" fillId="0" borderId="1" xfId="3" quotePrefix="1" applyBorder="1"/>
    <xf numFmtId="0" fontId="9" fillId="0" borderId="0" xfId="3" quotePrefix="1"/>
    <xf numFmtId="164" fontId="9" fillId="0" borderId="0" xfId="6" applyFont="1" applyFill="1" applyBorder="1"/>
    <xf numFmtId="164" fontId="9" fillId="0" borderId="0" xfId="6" applyFont="1" applyFill="1" applyBorder="1" applyAlignment="1">
      <alignment vertical="center"/>
    </xf>
    <xf numFmtId="164" fontId="0" fillId="0" borderId="0" xfId="6" applyFont="1"/>
    <xf numFmtId="0" fontId="3" fillId="0" borderId="0" xfId="0" applyFont="1" applyAlignment="1">
      <alignment horizontal="right"/>
    </xf>
    <xf numFmtId="0" fontId="3" fillId="0" borderId="0" xfId="0" quotePrefix="1" applyFont="1" applyAlignment="1">
      <alignment horizontal="left"/>
    </xf>
    <xf numFmtId="0" fontId="2" fillId="2" borderId="34" xfId="0" applyFont="1" applyFill="1" applyBorder="1" applyAlignment="1">
      <alignment horizontal="left" vertical="center"/>
    </xf>
    <xf numFmtId="0" fontId="11" fillId="3" borderId="15" xfId="0" applyFont="1" applyFill="1" applyBorder="1" applyAlignment="1">
      <alignment horizontal="center" vertical="center"/>
    </xf>
    <xf numFmtId="0" fontId="12" fillId="3" borderId="0" xfId="0" applyFont="1" applyFill="1" applyAlignment="1">
      <alignment vertical="top" wrapText="1"/>
    </xf>
    <xf numFmtId="0" fontId="12" fillId="3" borderId="18" xfId="0" applyFont="1" applyFill="1" applyBorder="1" applyAlignment="1">
      <alignment vertical="top" wrapText="1"/>
    </xf>
    <xf numFmtId="0" fontId="0" fillId="0" borderId="0" xfId="0" applyAlignment="1">
      <alignment horizontal="left" vertical="top"/>
    </xf>
    <xf numFmtId="0" fontId="3" fillId="0" borderId="0" xfId="0" applyFont="1" applyAlignment="1">
      <alignment horizontal="center" vertical="top"/>
    </xf>
    <xf numFmtId="0" fontId="29" fillId="22" borderId="1" xfId="4" applyFont="1" applyFill="1" applyBorder="1" applyAlignment="1" applyProtection="1">
      <alignment horizontal="center"/>
      <protection locked="0"/>
    </xf>
    <xf numFmtId="0" fontId="9" fillId="0" borderId="1" xfId="4" applyBorder="1" applyProtection="1">
      <protection locked="0"/>
    </xf>
    <xf numFmtId="0" fontId="9" fillId="0" borderId="1" xfId="3" applyBorder="1" applyProtection="1">
      <protection locked="0"/>
    </xf>
    <xf numFmtId="0" fontId="9" fillId="0" borderId="0" xfId="3" applyAlignment="1" applyProtection="1">
      <alignment horizontal="center"/>
      <protection locked="0"/>
    </xf>
    <xf numFmtId="0" fontId="9" fillId="0" borderId="1" xfId="4" applyBorder="1" applyAlignment="1" applyProtection="1">
      <alignment horizontal="center"/>
      <protection locked="0"/>
    </xf>
    <xf numFmtId="0" fontId="11" fillId="0" borderId="29" xfId="0" applyFont="1" applyBorder="1" applyAlignment="1">
      <alignment horizontal="center" vertical="center"/>
    </xf>
    <xf numFmtId="0" fontId="10" fillId="0" borderId="0" xfId="0" applyFont="1" applyAlignment="1">
      <alignment horizontal="center" vertical="center" wrapText="1"/>
    </xf>
    <xf numFmtId="0" fontId="10" fillId="0" borderId="18" xfId="0" applyFont="1" applyBorder="1" applyAlignment="1">
      <alignment horizontal="center" vertical="center" wrapText="1"/>
    </xf>
    <xf numFmtId="0" fontId="4" fillId="2" borderId="0" xfId="0" applyFont="1" applyFill="1" applyAlignment="1">
      <alignment horizontal="center"/>
    </xf>
    <xf numFmtId="2" fontId="3" fillId="0" borderId="22" xfId="0" applyNumberFormat="1" applyFont="1" applyBorder="1" applyAlignment="1">
      <alignment horizontal="center" vertical="center"/>
    </xf>
    <xf numFmtId="1" fontId="0" fillId="0" borderId="0" xfId="0" applyNumberFormat="1"/>
    <xf numFmtId="14" fontId="9" fillId="0" borderId="0" xfId="3" applyNumberFormat="1"/>
    <xf numFmtId="0" fontId="9" fillId="21" borderId="1" xfId="4" applyFill="1" applyBorder="1" applyAlignment="1" applyProtection="1">
      <alignment horizontal="center" vertical="center" wrapText="1"/>
      <protection locked="0"/>
    </xf>
    <xf numFmtId="0" fontId="9" fillId="0" borderId="0" xfId="4" applyAlignment="1" applyProtection="1">
      <alignment horizontal="center" vertical="center" wrapText="1"/>
      <protection locked="0"/>
    </xf>
    <xf numFmtId="0" fontId="3" fillId="0" borderId="1"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3" fillId="0" borderId="26" xfId="0" applyFont="1" applyBorder="1" applyAlignment="1" applyProtection="1">
      <alignment horizontal="center" vertical="center"/>
      <protection locked="0"/>
    </xf>
    <xf numFmtId="0" fontId="0" fillId="0" borderId="0" xfId="0" applyAlignment="1" applyProtection="1">
      <alignment vertical="top"/>
      <protection locked="0"/>
    </xf>
    <xf numFmtId="0" fontId="0" fillId="0" borderId="0" xfId="0" applyAlignment="1" applyProtection="1">
      <alignment horizontal="left" vertical="top"/>
      <protection locked="0"/>
    </xf>
    <xf numFmtId="0" fontId="3" fillId="0" borderId="20" xfId="0" applyFont="1" applyBorder="1" applyAlignment="1" applyProtection="1">
      <alignment vertical="top"/>
      <protection locked="0"/>
    </xf>
    <xf numFmtId="0" fontId="3" fillId="0" borderId="16" xfId="0" applyFont="1" applyBorder="1" applyAlignment="1" applyProtection="1">
      <alignment vertical="top"/>
      <protection locked="0"/>
    </xf>
    <xf numFmtId="0" fontId="0" fillId="0" borderId="16" xfId="0" applyBorder="1" applyAlignment="1" applyProtection="1">
      <alignment horizontal="left" vertical="top"/>
      <protection locked="0"/>
    </xf>
    <xf numFmtId="0" fontId="0" fillId="0" borderId="21" xfId="0" applyBorder="1" applyAlignment="1" applyProtection="1">
      <alignment vertical="top"/>
      <protection locked="0"/>
    </xf>
    <xf numFmtId="0" fontId="3" fillId="0" borderId="10" xfId="0" applyFont="1" applyBorder="1" applyAlignment="1" applyProtection="1">
      <alignment vertical="top"/>
      <protection locked="0"/>
    </xf>
    <xf numFmtId="0" fontId="3" fillId="0" borderId="0" xfId="0" applyFont="1" applyAlignment="1" applyProtection="1">
      <alignment vertical="top"/>
      <protection locked="0"/>
    </xf>
    <xf numFmtId="0" fontId="0" fillId="0" borderId="9" xfId="0" applyBorder="1" applyAlignment="1" applyProtection="1">
      <alignment vertical="top"/>
      <protection locked="0"/>
    </xf>
    <xf numFmtId="0" fontId="0" fillId="0" borderId="14" xfId="0" applyBorder="1" applyAlignment="1" applyProtection="1">
      <alignment vertical="top"/>
      <protection locked="0"/>
    </xf>
    <xf numFmtId="0" fontId="0" fillId="0" borderId="13" xfId="0" applyBorder="1" applyAlignment="1" applyProtection="1">
      <alignment vertical="top"/>
      <protection locked="0"/>
    </xf>
    <xf numFmtId="0" fontId="0" fillId="0" borderId="15" xfId="0" applyBorder="1" applyAlignment="1" applyProtection="1">
      <alignment vertical="top"/>
      <protection locked="0"/>
    </xf>
    <xf numFmtId="0" fontId="0" fillId="0" borderId="0" xfId="0" applyAlignment="1" applyProtection="1">
      <alignment horizontal="left"/>
      <protection locked="0"/>
    </xf>
    <xf numFmtId="0" fontId="0" fillId="0" borderId="0" xfId="0" applyAlignment="1" applyProtection="1">
      <alignment horizontal="center"/>
      <protection locked="0"/>
    </xf>
    <xf numFmtId="0" fontId="0" fillId="0" borderId="0" xfId="0" applyProtection="1">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2" fontId="0" fillId="0" borderId="0" xfId="0" applyNumberFormat="1" applyProtection="1">
      <protection locked="0"/>
    </xf>
    <xf numFmtId="0" fontId="3" fillId="18" borderId="20" xfId="0" applyFont="1" applyFill="1" applyBorder="1"/>
    <xf numFmtId="0" fontId="0" fillId="18" borderId="16" xfId="0" applyFill="1" applyBorder="1"/>
    <xf numFmtId="0" fontId="0" fillId="18" borderId="16" xfId="0" applyFill="1" applyBorder="1" applyAlignment="1">
      <alignment horizontal="center"/>
    </xf>
    <xf numFmtId="0" fontId="3" fillId="18" borderId="16" xfId="0" applyFont="1" applyFill="1" applyBorder="1"/>
    <xf numFmtId="0" fontId="3" fillId="18" borderId="10" xfId="0" applyFont="1" applyFill="1" applyBorder="1"/>
    <xf numFmtId="0" fontId="0" fillId="18" borderId="0" xfId="0" applyFill="1"/>
    <xf numFmtId="0" fontId="0" fillId="18" borderId="0" xfId="0" applyFill="1" applyAlignment="1">
      <alignment horizontal="center"/>
    </xf>
    <xf numFmtId="0" fontId="3" fillId="18" borderId="0" xfId="0" applyFont="1" applyFill="1"/>
    <xf numFmtId="0" fontId="0" fillId="18" borderId="9" xfId="0" applyFill="1" applyBorder="1"/>
    <xf numFmtId="0" fontId="3" fillId="18" borderId="14" xfId="0" applyFont="1" applyFill="1" applyBorder="1"/>
    <xf numFmtId="0" fontId="0" fillId="18" borderId="13" xfId="0" applyFill="1" applyBorder="1"/>
    <xf numFmtId="0" fontId="0" fillId="18" borderId="13" xfId="0" applyFill="1" applyBorder="1" applyAlignment="1">
      <alignment horizontal="center"/>
    </xf>
    <xf numFmtId="0" fontId="3" fillId="18" borderId="13" xfId="0" applyFont="1" applyFill="1" applyBorder="1"/>
    <xf numFmtId="0" fontId="3" fillId="0" borderId="22" xfId="0" applyFont="1" applyBorder="1" applyAlignment="1" applyProtection="1">
      <alignment horizontal="center"/>
      <protection locked="0"/>
    </xf>
    <xf numFmtId="0" fontId="3" fillId="0" borderId="32" xfId="0" applyFont="1" applyBorder="1" applyAlignment="1" applyProtection="1">
      <alignment horizontal="center"/>
      <protection locked="0"/>
    </xf>
    <xf numFmtId="0" fontId="0" fillId="18" borderId="16" xfId="0" applyFill="1" applyBorder="1" applyProtection="1">
      <protection locked="0"/>
    </xf>
    <xf numFmtId="0" fontId="0" fillId="18" borderId="0" xfId="0" applyFill="1" applyProtection="1">
      <protection locked="0"/>
    </xf>
    <xf numFmtId="0" fontId="0" fillId="18" borderId="13" xfId="0" applyFill="1" applyBorder="1" applyProtection="1">
      <protection locked="0"/>
    </xf>
    <xf numFmtId="0" fontId="0" fillId="18" borderId="15" xfId="0" applyFill="1" applyBorder="1" applyProtection="1">
      <protection locked="0"/>
    </xf>
    <xf numFmtId="0" fontId="0" fillId="18" borderId="21" xfId="0" applyFill="1" applyBorder="1" applyProtection="1">
      <protection locked="0"/>
    </xf>
    <xf numFmtId="0" fontId="3" fillId="0" borderId="20" xfId="0" applyFont="1" applyBorder="1" applyProtection="1">
      <protection locked="0"/>
    </xf>
    <xf numFmtId="0" fontId="3" fillId="0" borderId="16" xfId="0" applyFont="1" applyBorder="1" applyProtection="1">
      <protection locked="0"/>
    </xf>
    <xf numFmtId="0" fontId="0" fillId="0" borderId="16" xfId="0" applyBorder="1" applyAlignment="1" applyProtection="1">
      <alignment horizontal="left"/>
      <protection locked="0"/>
    </xf>
    <xf numFmtId="0" fontId="0" fillId="0" borderId="16" xfId="0" applyBorder="1" applyAlignment="1" applyProtection="1">
      <alignment horizontal="center"/>
      <protection locked="0"/>
    </xf>
    <xf numFmtId="0" fontId="0" fillId="0" borderId="16" xfId="0" applyBorder="1" applyProtection="1">
      <protection locked="0"/>
    </xf>
    <xf numFmtId="0" fontId="0" fillId="0" borderId="21" xfId="0" applyBorder="1" applyProtection="1">
      <protection locked="0"/>
    </xf>
    <xf numFmtId="0" fontId="3" fillId="0" borderId="10" xfId="0" applyFont="1" applyBorder="1" applyProtection="1">
      <protection locked="0"/>
    </xf>
    <xf numFmtId="0" fontId="3" fillId="0" borderId="0" xfId="0" applyFont="1" applyProtection="1">
      <protection locked="0"/>
    </xf>
    <xf numFmtId="0" fontId="0" fillId="0" borderId="0" xfId="0" applyAlignment="1" applyProtection="1">
      <alignment horizontal="center" vertical="top"/>
      <protection locked="0"/>
    </xf>
    <xf numFmtId="0" fontId="0" fillId="0" borderId="9" xfId="0" applyBorder="1" applyProtection="1">
      <protection locked="0"/>
    </xf>
    <xf numFmtId="0" fontId="0" fillId="0" borderId="14" xfId="0" applyBorder="1" applyProtection="1">
      <protection locked="0"/>
    </xf>
    <xf numFmtId="0" fontId="0" fillId="0" borderId="13" xfId="0" applyBorder="1" applyProtection="1">
      <protection locked="0"/>
    </xf>
    <xf numFmtId="0" fontId="0" fillId="0" borderId="13" xfId="0" applyBorder="1" applyAlignment="1" applyProtection="1">
      <alignment horizontal="center" vertical="top"/>
      <protection locked="0"/>
    </xf>
    <xf numFmtId="0" fontId="0" fillId="0" borderId="15" xfId="0" applyBorder="1" applyProtection="1">
      <protection locked="0"/>
    </xf>
    <xf numFmtId="0" fontId="10" fillId="0" borderId="0" xfId="0" applyFont="1" applyAlignment="1" applyProtection="1">
      <alignment horizontal="center" vertical="center" wrapText="1"/>
      <protection locked="0"/>
    </xf>
    <xf numFmtId="0" fontId="10" fillId="0" borderId="18" xfId="0" applyFont="1" applyBorder="1" applyAlignment="1" applyProtection="1">
      <alignment horizontal="center" vertical="center" wrapText="1"/>
      <protection locked="0"/>
    </xf>
    <xf numFmtId="0" fontId="0" fillId="0" borderId="22" xfId="0" applyBorder="1" applyAlignment="1" applyProtection="1">
      <alignment horizontal="center"/>
      <protection locked="0"/>
    </xf>
    <xf numFmtId="0" fontId="20" fillId="0" borderId="0" xfId="3" applyFont="1" applyAlignment="1" applyProtection="1">
      <alignment horizontal="center"/>
      <protection locked="0"/>
    </xf>
    <xf numFmtId="0" fontId="20" fillId="0" borderId="0" xfId="3" applyFont="1" applyAlignment="1">
      <alignment horizontal="center"/>
    </xf>
    <xf numFmtId="0" fontId="22" fillId="0" borderId="20" xfId="3" applyFont="1" applyBorder="1" applyAlignment="1">
      <alignment horizontal="center"/>
    </xf>
    <xf numFmtId="0" fontId="22" fillId="14" borderId="20" xfId="3" applyFont="1" applyFill="1" applyBorder="1" applyAlignment="1">
      <alignment horizontal="center"/>
    </xf>
    <xf numFmtId="0" fontId="22" fillId="15" borderId="40" xfId="3" applyFont="1" applyFill="1" applyBorder="1" applyAlignment="1">
      <alignment horizontal="center"/>
    </xf>
    <xf numFmtId="0" fontId="22" fillId="16" borderId="21" xfId="3" applyFont="1" applyFill="1" applyBorder="1" applyAlignment="1">
      <alignment horizontal="center"/>
    </xf>
    <xf numFmtId="0" fontId="20" fillId="0" borderId="10" xfId="3" applyFont="1" applyBorder="1" applyAlignment="1">
      <alignment horizontal="right" vertical="center" textRotation="90" wrapText="1"/>
    </xf>
    <xf numFmtId="0" fontId="9" fillId="14" borderId="10" xfId="3" applyFill="1" applyBorder="1"/>
    <xf numFmtId="0" fontId="9" fillId="15" borderId="43" xfId="3" applyFill="1" applyBorder="1"/>
    <xf numFmtId="0" fontId="9" fillId="16" borderId="9" xfId="3" quotePrefix="1" applyFill="1" applyBorder="1"/>
    <xf numFmtId="0" fontId="9" fillId="16" borderId="9" xfId="3" applyFill="1" applyBorder="1"/>
    <xf numFmtId="0" fontId="24" fillId="0" borderId="0" xfId="3" applyFont="1" applyAlignment="1">
      <alignment horizontal="center"/>
    </xf>
    <xf numFmtId="0" fontId="22" fillId="15" borderId="21" xfId="3" applyFont="1" applyFill="1" applyBorder="1" applyAlignment="1">
      <alignment horizontal="center"/>
    </xf>
    <xf numFmtId="0" fontId="20" fillId="0" borderId="0" xfId="3" applyFont="1" applyAlignment="1">
      <alignment horizontal="right" vertical="center" textRotation="90"/>
    </xf>
    <xf numFmtId="0" fontId="9" fillId="15" borderId="9" xfId="3" quotePrefix="1" applyFill="1" applyBorder="1"/>
    <xf numFmtId="0" fontId="9" fillId="15" borderId="9" xfId="3" applyFill="1" applyBorder="1"/>
    <xf numFmtId="0" fontId="22" fillId="14" borderId="40" xfId="3" applyFont="1" applyFill="1" applyBorder="1" applyAlignment="1">
      <alignment horizontal="center"/>
    </xf>
    <xf numFmtId="0" fontId="22" fillId="14" borderId="21" xfId="3" applyFont="1" applyFill="1" applyBorder="1" applyAlignment="1">
      <alignment horizontal="center"/>
    </xf>
    <xf numFmtId="0" fontId="20" fillId="0" borderId="10" xfId="3" applyFont="1" applyBorder="1" applyAlignment="1">
      <alignment horizontal="right" vertical="center" textRotation="90"/>
    </xf>
    <xf numFmtId="0" fontId="9" fillId="14" borderId="43" xfId="3" applyFill="1" applyBorder="1"/>
    <xf numFmtId="0" fontId="9" fillId="14" borderId="9" xfId="3" applyFill="1" applyBorder="1"/>
    <xf numFmtId="0" fontId="22" fillId="0" borderId="40" xfId="3" applyFont="1" applyBorder="1" applyAlignment="1">
      <alignment horizontal="center"/>
    </xf>
    <xf numFmtId="0" fontId="9" fillId="0" borderId="10" xfId="3" applyBorder="1"/>
    <xf numFmtId="0" fontId="9" fillId="0" borderId="43" xfId="3" applyBorder="1"/>
    <xf numFmtId="0" fontId="20" fillId="0" borderId="0" xfId="3" applyFont="1" applyAlignment="1">
      <alignment horizontal="center" vertical="center" textRotation="90"/>
    </xf>
    <xf numFmtId="0" fontId="9" fillId="0" borderId="0" xfId="3" applyAlignment="1">
      <alignment vertical="center" wrapText="1"/>
    </xf>
    <xf numFmtId="0" fontId="25" fillId="0" borderId="0" xfId="4" applyFont="1" applyAlignment="1">
      <alignment horizontal="left" vertical="center"/>
    </xf>
    <xf numFmtId="0" fontId="9" fillId="0" borderId="0" xfId="4" applyAlignment="1">
      <alignment vertical="center" wrapText="1"/>
    </xf>
    <xf numFmtId="0" fontId="9" fillId="21" borderId="2" xfId="4" applyFill="1" applyBorder="1" applyAlignment="1">
      <alignment horizontal="center" vertical="center" wrapText="1"/>
    </xf>
    <xf numFmtId="0" fontId="29" fillId="22" borderId="1" xfId="4" applyFont="1" applyFill="1" applyBorder="1" applyAlignment="1">
      <alignment horizontal="center"/>
    </xf>
    <xf numFmtId="0" fontId="9" fillId="0" borderId="1" xfId="4" applyBorder="1" applyAlignment="1">
      <alignment horizontal="center"/>
    </xf>
    <xf numFmtId="0" fontId="9" fillId="0" borderId="1" xfId="4" applyBorder="1" applyAlignment="1">
      <alignment horizontal="left" vertical="center"/>
    </xf>
    <xf numFmtId="0" fontId="9" fillId="0" borderId="1" xfId="4" applyBorder="1" applyAlignment="1">
      <alignment horizontal="center" vertical="center"/>
    </xf>
    <xf numFmtId="0" fontId="9" fillId="0" borderId="1" xfId="4" applyBorder="1" applyAlignment="1">
      <alignment vertical="center"/>
    </xf>
    <xf numFmtId="0" fontId="9" fillId="0" borderId="1" xfId="3" applyBorder="1" applyAlignment="1">
      <alignment horizontal="center"/>
    </xf>
    <xf numFmtId="0" fontId="9" fillId="0" borderId="1" xfId="3" applyBorder="1" applyAlignment="1">
      <alignment horizontal="center" vertical="center"/>
    </xf>
    <xf numFmtId="0" fontId="9" fillId="0" borderId="0" xfId="3" applyAlignment="1">
      <alignment horizontal="left" vertical="center"/>
    </xf>
    <xf numFmtId="0" fontId="9" fillId="0" borderId="0" xfId="3" applyAlignment="1">
      <alignment horizontal="center" vertical="center"/>
    </xf>
    <xf numFmtId="0" fontId="26" fillId="0" borderId="0" xfId="0" applyFont="1" applyAlignment="1" applyProtection="1">
      <alignment horizontal="left" vertical="center" indent="1" readingOrder="1"/>
      <protection locked="0"/>
    </xf>
    <xf numFmtId="0" fontId="26" fillId="0" borderId="0" xfId="0" applyFont="1" applyAlignment="1" applyProtection="1">
      <alignment horizontal="left" vertical="top" indent="1" readingOrder="1"/>
      <protection locked="0"/>
    </xf>
    <xf numFmtId="0" fontId="3" fillId="0" borderId="0" xfId="0" quotePrefix="1" applyFont="1" applyAlignment="1" applyProtection="1">
      <alignment horizontal="left"/>
      <protection locked="0"/>
    </xf>
    <xf numFmtId="10" fontId="23" fillId="0" borderId="14" xfId="3" applyNumberFormat="1" applyFont="1" applyBorder="1" applyAlignment="1" applyProtection="1">
      <alignment horizontal="center" vertical="center" wrapText="1"/>
      <protection locked="0"/>
    </xf>
    <xf numFmtId="10" fontId="24" fillId="14" borderId="14" xfId="3" applyNumberFormat="1" applyFont="1" applyFill="1" applyBorder="1" applyAlignment="1" applyProtection="1">
      <alignment horizontal="center" vertical="center"/>
      <protection locked="0"/>
    </xf>
    <xf numFmtId="10" fontId="24" fillId="15" borderId="31" xfId="3" applyNumberFormat="1" applyFont="1" applyFill="1" applyBorder="1" applyAlignment="1" applyProtection="1">
      <alignment horizontal="center" vertical="center"/>
      <protection locked="0"/>
    </xf>
    <xf numFmtId="9" fontId="24" fillId="16" borderId="15" xfId="3" applyNumberFormat="1" applyFont="1" applyFill="1" applyBorder="1" applyAlignment="1" applyProtection="1">
      <alignment horizontal="center" vertical="center"/>
      <protection locked="0"/>
    </xf>
    <xf numFmtId="10" fontId="23" fillId="0" borderId="0" xfId="3" applyNumberFormat="1" applyFont="1" applyAlignment="1" applyProtection="1">
      <alignment horizontal="center" vertical="center"/>
      <protection locked="0"/>
    </xf>
    <xf numFmtId="10" fontId="24" fillId="15" borderId="15" xfId="3" applyNumberFormat="1" applyFont="1" applyFill="1" applyBorder="1" applyAlignment="1" applyProtection="1">
      <alignment horizontal="center" vertical="center"/>
      <protection locked="0"/>
    </xf>
    <xf numFmtId="10" fontId="23" fillId="0" borderId="10" xfId="3" applyNumberFormat="1" applyFont="1" applyBorder="1" applyAlignment="1" applyProtection="1">
      <alignment horizontal="center" vertical="center"/>
      <protection locked="0"/>
    </xf>
    <xf numFmtId="10" fontId="24" fillId="14" borderId="10" xfId="3" applyNumberFormat="1" applyFont="1" applyFill="1" applyBorder="1" applyAlignment="1" applyProtection="1">
      <alignment horizontal="center" vertical="center"/>
      <protection locked="0"/>
    </xf>
    <xf numFmtId="10" fontId="24" fillId="14" borderId="43" xfId="3" applyNumberFormat="1" applyFont="1" applyFill="1" applyBorder="1" applyAlignment="1" applyProtection="1">
      <alignment horizontal="center" vertical="center"/>
      <protection locked="0"/>
    </xf>
    <xf numFmtId="10" fontId="24" fillId="14" borderId="9" xfId="3" applyNumberFormat="1" applyFont="1" applyFill="1" applyBorder="1" applyAlignment="1" applyProtection="1">
      <alignment horizontal="center" vertical="center"/>
      <protection locked="0"/>
    </xf>
    <xf numFmtId="10" fontId="24" fillId="0" borderId="14" xfId="3" applyNumberFormat="1" applyFont="1" applyBorder="1" applyAlignment="1" applyProtection="1">
      <alignment horizontal="center" vertical="center"/>
      <protection locked="0"/>
    </xf>
    <xf numFmtId="10" fontId="24" fillId="0" borderId="31" xfId="3" applyNumberFormat="1" applyFont="1" applyBorder="1" applyAlignment="1" applyProtection="1">
      <alignment horizontal="center" vertical="center"/>
      <protection locked="0"/>
    </xf>
    <xf numFmtId="0" fontId="0" fillId="0" borderId="48" xfId="0" applyBorder="1" applyAlignment="1">
      <alignment horizontal="center" vertical="center" wrapText="1"/>
    </xf>
    <xf numFmtId="0" fontId="0" fillId="0" borderId="48" xfId="0" applyBorder="1" applyAlignment="1">
      <alignment horizontal="left" vertical="center" wrapText="1"/>
    </xf>
    <xf numFmtId="0" fontId="0" fillId="0" borderId="28" xfId="0" applyBorder="1" applyAlignment="1">
      <alignment horizontal="center" vertical="center" wrapText="1"/>
    </xf>
    <xf numFmtId="0" fontId="0" fillId="0" borderId="57"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0" fillId="0" borderId="48" xfId="0" applyBorder="1" applyAlignment="1">
      <alignment horizontal="center" vertical="center"/>
    </xf>
    <xf numFmtId="0" fontId="0" fillId="0" borderId="30" xfId="0" applyBorder="1" applyAlignment="1">
      <alignment horizontal="center" vertical="center" wrapText="1"/>
    </xf>
    <xf numFmtId="0" fontId="0" fillId="0" borderId="61" xfId="0" applyBorder="1" applyAlignment="1">
      <alignment horizontal="center" vertical="center" wrapText="1"/>
    </xf>
    <xf numFmtId="0" fontId="12" fillId="0" borderId="48" xfId="0" applyFont="1" applyBorder="1" applyAlignment="1">
      <alignment horizontal="left" vertical="top" wrapText="1"/>
    </xf>
    <xf numFmtId="0" fontId="0" fillId="0" borderId="49" xfId="0" applyBorder="1" applyAlignment="1">
      <alignment horizontal="center" vertical="center" wrapText="1"/>
    </xf>
    <xf numFmtId="0" fontId="0" fillId="0" borderId="49" xfId="0" applyBorder="1" applyAlignment="1">
      <alignment horizontal="left" vertical="center" wrapText="1"/>
    </xf>
    <xf numFmtId="0" fontId="0" fillId="0" borderId="46" xfId="0" applyBorder="1" applyAlignment="1">
      <alignment horizontal="center" vertical="center" wrapText="1"/>
    </xf>
    <xf numFmtId="0" fontId="0" fillId="0" borderId="23" xfId="0" applyBorder="1" applyAlignment="1">
      <alignment horizontal="center" vertical="center" wrapText="1"/>
    </xf>
    <xf numFmtId="0" fontId="0" fillId="0" borderId="1" xfId="0" applyBorder="1" applyAlignment="1">
      <alignment horizontal="center" vertical="center" wrapText="1"/>
    </xf>
    <xf numFmtId="0" fontId="0" fillId="0" borderId="24" xfId="0" applyBorder="1" applyAlignment="1">
      <alignment horizontal="center" vertical="center" wrapText="1"/>
    </xf>
    <xf numFmtId="0" fontId="0" fillId="0" borderId="60" xfId="0"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12" fillId="0" borderId="49" xfId="0" applyFont="1" applyBorder="1" applyAlignment="1">
      <alignment horizontal="left" vertical="top" wrapText="1"/>
    </xf>
    <xf numFmtId="0" fontId="0" fillId="0" borderId="49" xfId="0" applyBorder="1" applyAlignment="1">
      <alignment horizontal="center"/>
    </xf>
    <xf numFmtId="0" fontId="0" fillId="0" borderId="49" xfId="0" applyBorder="1" applyAlignment="1">
      <alignment horizontal="left"/>
    </xf>
    <xf numFmtId="0" fontId="0" fillId="0" borderId="49" xfId="0" applyBorder="1" applyAlignment="1">
      <alignment horizontal="center" vertical="center"/>
    </xf>
    <xf numFmtId="0" fontId="0" fillId="0" borderId="46" xfId="0" applyBorder="1" applyAlignment="1">
      <alignment horizontal="center" vertical="center"/>
    </xf>
    <xf numFmtId="0" fontId="0" fillId="0" borderId="23" xfId="0" applyBorder="1" applyAlignment="1">
      <alignment horizontal="center" vertical="center"/>
    </xf>
    <xf numFmtId="0" fontId="0" fillId="0" borderId="1" xfId="0" applyBorder="1" applyAlignment="1">
      <alignment horizontal="center" vertical="center"/>
    </xf>
    <xf numFmtId="0" fontId="0" fillId="0" borderId="24"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62" xfId="0" applyBorder="1" applyAlignment="1">
      <alignment horizontal="center"/>
    </xf>
    <xf numFmtId="0" fontId="0" fillId="0" borderId="62" xfId="0" applyBorder="1" applyAlignment="1">
      <alignment horizontal="left"/>
    </xf>
    <xf numFmtId="0" fontId="0" fillId="0" borderId="62" xfId="0" applyBorder="1" applyAlignment="1">
      <alignment horizontal="center" vertical="center"/>
    </xf>
    <xf numFmtId="0" fontId="0" fillId="0" borderId="44"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52" xfId="0" applyBorder="1" applyAlignment="1">
      <alignment horizontal="center" vertical="center"/>
    </xf>
    <xf numFmtId="0" fontId="0" fillId="0" borderId="21" xfId="0" applyBorder="1" applyAlignment="1">
      <alignment horizontal="center" vertical="center"/>
    </xf>
    <xf numFmtId="0" fontId="0" fillId="0" borderId="20"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2" xfId="0" applyBorder="1" applyAlignment="1">
      <alignment horizontal="center" vertical="center" wrapText="1"/>
    </xf>
    <xf numFmtId="0" fontId="0" fillId="0" borderId="50" xfId="0" applyBorder="1" applyAlignment="1">
      <alignment horizontal="center"/>
    </xf>
    <xf numFmtId="0" fontId="0" fillId="0" borderId="50" xfId="0" applyBorder="1" applyAlignment="1">
      <alignment horizontal="left"/>
    </xf>
    <xf numFmtId="0" fontId="0" fillId="0" borderId="50" xfId="0" applyBorder="1" applyAlignment="1">
      <alignment horizontal="center" vertical="center"/>
    </xf>
    <xf numFmtId="0" fontId="0" fillId="0" borderId="37"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2" fillId="4" borderId="57" xfId="0" applyFont="1" applyFill="1" applyBorder="1" applyAlignment="1">
      <alignment horizontal="center" vertical="center" wrapText="1"/>
    </xf>
    <xf numFmtId="0" fontId="12" fillId="4" borderId="58" xfId="0" applyFont="1" applyFill="1" applyBorder="1" applyAlignment="1">
      <alignment horizontal="center" vertical="center" wrapText="1"/>
    </xf>
    <xf numFmtId="0" fontId="12" fillId="4" borderId="59" xfId="0" applyFont="1" applyFill="1" applyBorder="1" applyAlignment="1">
      <alignment horizontal="center" vertical="center" wrapText="1"/>
    </xf>
    <xf numFmtId="0" fontId="12" fillId="4" borderId="48" xfId="0" applyFont="1" applyFill="1" applyBorder="1" applyAlignment="1">
      <alignment horizontal="center" vertical="center" wrapText="1"/>
    </xf>
    <xf numFmtId="0" fontId="12" fillId="0" borderId="0" xfId="0" applyFont="1" applyAlignment="1">
      <alignment vertical="center"/>
    </xf>
    <xf numFmtId="9" fontId="12" fillId="4" borderId="25" xfId="0" applyNumberFormat="1" applyFont="1" applyFill="1" applyBorder="1" applyAlignment="1">
      <alignment horizontal="center"/>
    </xf>
    <xf numFmtId="9" fontId="12" fillId="4" borderId="26" xfId="0" applyNumberFormat="1" applyFont="1" applyFill="1" applyBorder="1" applyAlignment="1">
      <alignment horizontal="center"/>
    </xf>
    <xf numFmtId="9" fontId="12" fillId="4" borderId="27" xfId="0" applyNumberFormat="1" applyFont="1" applyFill="1" applyBorder="1" applyAlignment="1">
      <alignment horizontal="center"/>
    </xf>
    <xf numFmtId="0" fontId="3" fillId="20" borderId="54" xfId="0" applyFont="1" applyFill="1" applyBorder="1" applyAlignment="1">
      <alignment horizontal="center" vertical="center"/>
    </xf>
    <xf numFmtId="0" fontId="3" fillId="20" borderId="55" xfId="0" applyFont="1" applyFill="1" applyBorder="1" applyAlignment="1">
      <alignment horizontal="center" vertical="center"/>
    </xf>
    <xf numFmtId="0" fontId="3" fillId="20" borderId="56" xfId="0" applyFont="1" applyFill="1" applyBorder="1" applyAlignment="1">
      <alignment horizontal="center" vertical="center"/>
    </xf>
    <xf numFmtId="0" fontId="3" fillId="20" borderId="56" xfId="0" applyFont="1" applyFill="1" applyBorder="1" applyAlignment="1">
      <alignment horizontal="center" vertical="center" wrapText="1"/>
    </xf>
    <xf numFmtId="0" fontId="3" fillId="17" borderId="54" xfId="0" applyFont="1" applyFill="1" applyBorder="1" applyAlignment="1">
      <alignment horizontal="center" vertical="center"/>
    </xf>
    <xf numFmtId="0" fontId="3" fillId="17" borderId="55" xfId="0" applyFont="1" applyFill="1" applyBorder="1" applyAlignment="1">
      <alignment horizontal="center" vertical="center"/>
    </xf>
    <xf numFmtId="0" fontId="3" fillId="17" borderId="56" xfId="0" applyFont="1" applyFill="1" applyBorder="1" applyAlignment="1">
      <alignment horizontal="center" vertical="center"/>
    </xf>
    <xf numFmtId="9" fontId="12" fillId="4" borderId="50" xfId="0" applyNumberFormat="1" applyFont="1" applyFill="1" applyBorder="1" applyAlignment="1">
      <alignment horizontal="center"/>
    </xf>
    <xf numFmtId="0" fontId="12" fillId="0" borderId="62" xfId="0" applyFont="1" applyBorder="1" applyAlignment="1">
      <alignment horizontal="left" vertical="top" wrapText="1"/>
    </xf>
    <xf numFmtId="0" fontId="12" fillId="0" borderId="50" xfId="0" applyFont="1" applyBorder="1" applyAlignment="1">
      <alignment horizontal="left" vertical="top" wrapText="1"/>
    </xf>
    <xf numFmtId="0" fontId="12" fillId="0" borderId="0" xfId="0" applyFont="1" applyAlignment="1">
      <alignment horizontal="left" vertical="top" wrapText="1"/>
    </xf>
    <xf numFmtId="0" fontId="3" fillId="0" borderId="24" xfId="0" applyFont="1" applyBorder="1" applyAlignment="1" applyProtection="1">
      <alignment horizontal="center" vertical="center"/>
      <protection locked="0"/>
    </xf>
    <xf numFmtId="0" fontId="6" fillId="0" borderId="0" xfId="0" applyFont="1" applyAlignment="1">
      <alignment horizontal="center" vertical="center"/>
    </xf>
    <xf numFmtId="0" fontId="6" fillId="0" borderId="1" xfId="0" applyFont="1" applyBorder="1" applyAlignment="1">
      <alignment horizontal="left" vertical="center" wrapText="1"/>
    </xf>
    <xf numFmtId="0" fontId="6" fillId="0" borderId="0" xfId="0" applyFont="1" applyAlignment="1">
      <alignment horizontal="left"/>
    </xf>
    <xf numFmtId="0" fontId="6" fillId="0" borderId="0" xfId="0" applyFont="1" applyAlignment="1">
      <alignment horizontal="left" wrapText="1"/>
    </xf>
    <xf numFmtId="0" fontId="7" fillId="0" borderId="1" xfId="0" applyFont="1" applyBorder="1" applyAlignment="1">
      <alignment horizontal="left" vertical="center" wrapText="1"/>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4" xfId="0" applyFont="1" applyFill="1" applyBorder="1" applyAlignment="1">
      <alignment horizontal="center" vertical="center"/>
    </xf>
    <xf numFmtId="0" fontId="12" fillId="3" borderId="18" xfId="0" applyFont="1" applyFill="1" applyBorder="1" applyAlignment="1">
      <alignment vertical="top" wrapText="1"/>
    </xf>
    <xf numFmtId="0" fontId="12" fillId="0" borderId="46" xfId="0" applyFont="1" applyBorder="1" applyAlignment="1">
      <alignment horizontal="left" vertical="top" wrapText="1"/>
    </xf>
    <xf numFmtId="0" fontId="12" fillId="0" borderId="4" xfId="0" applyFont="1" applyBorder="1" applyAlignment="1">
      <alignment horizontal="left" vertical="top" wrapText="1"/>
    </xf>
    <xf numFmtId="0" fontId="12" fillId="0" borderId="3" xfId="0" applyFont="1" applyBorder="1" applyAlignment="1">
      <alignment horizontal="left" vertical="top" wrapText="1"/>
    </xf>
    <xf numFmtId="0" fontId="12" fillId="0" borderId="37" xfId="0" applyFont="1" applyBorder="1" applyAlignment="1">
      <alignment horizontal="left" vertical="top" wrapText="1"/>
    </xf>
    <xf numFmtId="0" fontId="12" fillId="0" borderId="38" xfId="0" applyFont="1" applyBorder="1" applyAlignment="1">
      <alignment horizontal="left" vertical="top" wrapText="1"/>
    </xf>
    <xf numFmtId="0" fontId="12" fillId="0" borderId="47" xfId="0" applyFont="1" applyBorder="1" applyAlignment="1">
      <alignment horizontal="left" vertical="top" wrapText="1"/>
    </xf>
    <xf numFmtId="0" fontId="12" fillId="3" borderId="0" xfId="0" applyFont="1" applyFill="1" applyAlignment="1">
      <alignment vertical="top" wrapText="1"/>
    </xf>
    <xf numFmtId="0" fontId="11" fillId="3" borderId="28" xfId="0" applyFont="1" applyFill="1" applyBorder="1" applyAlignment="1">
      <alignment horizontal="center" vertical="center"/>
    </xf>
    <xf numFmtId="0" fontId="11" fillId="3" borderId="29" xfId="0" applyFont="1" applyFill="1" applyBorder="1" applyAlignment="1">
      <alignment horizontal="center" vertical="center"/>
    </xf>
    <xf numFmtId="0" fontId="11" fillId="3" borderId="30" xfId="0" applyFont="1" applyFill="1" applyBorder="1" applyAlignment="1">
      <alignment horizontal="center" vertical="center"/>
    </xf>
    <xf numFmtId="0" fontId="12" fillId="0" borderId="25" xfId="0" applyFont="1" applyBorder="1" applyAlignment="1">
      <alignment horizontal="left" vertical="top" wrapText="1"/>
    </xf>
    <xf numFmtId="0" fontId="12" fillId="0" borderId="26" xfId="0" applyFont="1" applyBorder="1" applyAlignment="1">
      <alignment horizontal="left" vertical="top" wrapText="1"/>
    </xf>
    <xf numFmtId="0" fontId="3" fillId="0" borderId="0" xfId="0" applyFont="1" applyAlignment="1">
      <alignment horizontal="left" vertical="top"/>
    </xf>
    <xf numFmtId="0" fontId="12" fillId="0" borderId="23" xfId="0" applyFont="1" applyBorder="1" applyAlignment="1">
      <alignment horizontal="left" vertical="top" wrapText="1"/>
    </xf>
    <xf numFmtId="0" fontId="12" fillId="0" borderId="1" xfId="0" applyFont="1" applyBorder="1" applyAlignment="1">
      <alignment horizontal="left" vertical="top" wrapText="1"/>
    </xf>
    <xf numFmtId="0" fontId="2" fillId="2" borderId="32" xfId="0" applyFont="1" applyFill="1" applyBorder="1" applyAlignment="1">
      <alignment horizontal="left" vertical="center"/>
    </xf>
    <xf numFmtId="0" fontId="2" fillId="2" borderId="33" xfId="0" applyFont="1" applyFill="1" applyBorder="1" applyAlignment="1">
      <alignment horizontal="left" vertical="center"/>
    </xf>
    <xf numFmtId="0" fontId="2" fillId="2" borderId="34" xfId="0" applyFont="1" applyFill="1" applyBorder="1" applyAlignment="1">
      <alignment horizontal="left" vertical="center"/>
    </xf>
    <xf numFmtId="0" fontId="11" fillId="3" borderId="12" xfId="0" applyFont="1" applyFill="1" applyBorder="1" applyAlignment="1">
      <alignment horizontal="center" vertical="center"/>
    </xf>
    <xf numFmtId="0" fontId="11" fillId="3" borderId="15" xfId="0" applyFont="1" applyFill="1" applyBorder="1" applyAlignment="1">
      <alignment horizontal="center" vertical="center"/>
    </xf>
    <xf numFmtId="0" fontId="12" fillId="0" borderId="23" xfId="0" applyFont="1" applyBorder="1" applyAlignment="1">
      <alignment vertical="top" wrapText="1"/>
    </xf>
    <xf numFmtId="0" fontId="12" fillId="0" borderId="1" xfId="0" applyFont="1" applyBorder="1" applyAlignment="1">
      <alignment vertical="top" wrapText="1"/>
    </xf>
    <xf numFmtId="0" fontId="12" fillId="0" borderId="25" xfId="0" applyFont="1" applyBorder="1" applyAlignment="1">
      <alignment vertical="top" wrapText="1"/>
    </xf>
    <xf numFmtId="0" fontId="12" fillId="0" borderId="26" xfId="0" applyFont="1" applyBorder="1" applyAlignment="1">
      <alignment vertical="top" wrapText="1"/>
    </xf>
    <xf numFmtId="0" fontId="0" fillId="0" borderId="0" xfId="0" applyAlignment="1" applyProtection="1">
      <alignment horizontal="center" vertical="top"/>
      <protection locked="0"/>
    </xf>
    <xf numFmtId="0" fontId="3" fillId="0" borderId="0" xfId="0" applyFont="1" applyAlignment="1" applyProtection="1">
      <alignment horizontal="center" vertical="top"/>
      <protection locked="0"/>
    </xf>
    <xf numFmtId="0" fontId="4" fillId="2" borderId="0" xfId="0" applyFont="1" applyFill="1" applyAlignment="1">
      <alignment horizontal="center" vertical="top"/>
    </xf>
    <xf numFmtId="0" fontId="4" fillId="2" borderId="0" xfId="0" applyFont="1" applyFill="1" applyAlignment="1">
      <alignment horizontal="center"/>
    </xf>
    <xf numFmtId="0" fontId="2" fillId="2" borderId="32" xfId="0" applyFont="1" applyFill="1" applyBorder="1" applyAlignment="1">
      <alignment horizontal="left"/>
    </xf>
    <xf numFmtId="0" fontId="2" fillId="2" borderId="33" xfId="0" applyFont="1" applyFill="1" applyBorder="1" applyAlignment="1">
      <alignment horizontal="left"/>
    </xf>
    <xf numFmtId="0" fontId="2" fillId="2" borderId="34" xfId="0" applyFont="1" applyFill="1" applyBorder="1" applyAlignment="1">
      <alignment horizontal="left"/>
    </xf>
    <xf numFmtId="0" fontId="10" fillId="0" borderId="8" xfId="0" applyFont="1" applyBorder="1" applyAlignment="1" applyProtection="1">
      <alignment horizontal="left" vertical="center" wrapText="1"/>
      <protection locked="0"/>
    </xf>
    <xf numFmtId="0" fontId="10" fillId="0" borderId="0" xfId="0" applyFont="1" applyAlignment="1" applyProtection="1">
      <alignment horizontal="left" vertical="center" wrapText="1"/>
      <protection locked="0"/>
    </xf>
    <xf numFmtId="0" fontId="10" fillId="0" borderId="9" xfId="0" applyFont="1" applyBorder="1" applyAlignment="1" applyProtection="1">
      <alignment horizontal="left" vertical="center" wrapText="1"/>
      <protection locked="0"/>
    </xf>
    <xf numFmtId="0" fontId="10" fillId="0" borderId="17" xfId="0" applyFont="1" applyBorder="1" applyAlignment="1" applyProtection="1">
      <alignment horizontal="left" vertical="center" wrapText="1"/>
      <protection locked="0"/>
    </xf>
    <xf numFmtId="0" fontId="10" fillId="0" borderId="18" xfId="0" applyFont="1" applyBorder="1" applyAlignment="1" applyProtection="1">
      <alignment horizontal="left" vertical="center" wrapText="1"/>
      <protection locked="0"/>
    </xf>
    <xf numFmtId="0" fontId="10" fillId="0" borderId="36" xfId="0" applyFont="1" applyBorder="1" applyAlignment="1" applyProtection="1">
      <alignment horizontal="left" vertical="center" wrapText="1"/>
      <protection locked="0"/>
    </xf>
    <xf numFmtId="0" fontId="11" fillId="0" borderId="28" xfId="0" applyFont="1" applyBorder="1" applyAlignment="1">
      <alignment horizontal="left" vertical="center"/>
    </xf>
    <xf numFmtId="0" fontId="11" fillId="0" borderId="29" xfId="0" applyFont="1" applyBorder="1" applyAlignment="1">
      <alignment horizontal="left" vertical="center"/>
    </xf>
    <xf numFmtId="0" fontId="11" fillId="0" borderId="30" xfId="0" applyFont="1" applyBorder="1" applyAlignment="1">
      <alignment horizontal="left" vertical="center"/>
    </xf>
    <xf numFmtId="0" fontId="11" fillId="0" borderId="35" xfId="0" applyFont="1" applyBorder="1" applyAlignment="1">
      <alignment horizontal="left" vertical="center"/>
    </xf>
    <xf numFmtId="0" fontId="10" fillId="0" borderId="44" xfId="0" applyFont="1" applyBorder="1" applyAlignment="1" applyProtection="1">
      <alignment horizontal="left" vertical="center" wrapText="1"/>
      <protection locked="0"/>
    </xf>
    <xf numFmtId="0" fontId="10" fillId="0" borderId="16" xfId="0" applyFont="1" applyBorder="1" applyAlignment="1" applyProtection="1">
      <alignment horizontal="left" vertical="center" wrapText="1"/>
      <protection locked="0"/>
    </xf>
    <xf numFmtId="0" fontId="10" fillId="0" borderId="45" xfId="0" applyFont="1" applyBorder="1" applyAlignment="1" applyProtection="1">
      <alignment horizontal="left" vertical="center" wrapText="1"/>
      <protection locked="0"/>
    </xf>
    <xf numFmtId="0" fontId="10" fillId="0" borderId="11" xfId="0" applyFont="1" applyBorder="1" applyAlignment="1" applyProtection="1">
      <alignment horizontal="left" vertical="center" wrapText="1"/>
      <protection locked="0"/>
    </xf>
    <xf numFmtId="0" fontId="10" fillId="0" borderId="19" xfId="0" applyFont="1" applyBorder="1" applyAlignment="1" applyProtection="1">
      <alignment horizontal="left" vertical="center" wrapText="1"/>
      <protection locked="0"/>
    </xf>
    <xf numFmtId="0" fontId="0" fillId="0" borderId="0" xfId="0" applyAlignment="1">
      <alignment horizontal="left"/>
    </xf>
    <xf numFmtId="0" fontId="12" fillId="10" borderId="48" xfId="0" applyFont="1" applyFill="1" applyBorder="1" applyAlignment="1">
      <alignment horizontal="center" vertical="center"/>
    </xf>
    <xf numFmtId="0" fontId="12" fillId="10" borderId="49" xfId="0" applyFont="1" applyFill="1" applyBorder="1" applyAlignment="1">
      <alignment horizontal="center" vertical="center"/>
    </xf>
    <xf numFmtId="0" fontId="12" fillId="10" borderId="50" xfId="0" applyFont="1" applyFill="1" applyBorder="1" applyAlignment="1">
      <alignment horizontal="center" vertical="center"/>
    </xf>
    <xf numFmtId="0" fontId="12" fillId="10" borderId="51" xfId="0" applyFont="1" applyFill="1" applyBorder="1" applyAlignment="1">
      <alignment horizontal="center" vertical="center"/>
    </xf>
    <xf numFmtId="0" fontId="12" fillId="10" borderId="52" xfId="0" applyFont="1" applyFill="1" applyBorder="1" applyAlignment="1">
      <alignment horizontal="center" vertical="center"/>
    </xf>
    <xf numFmtId="0" fontId="12" fillId="10" borderId="53" xfId="0" applyFont="1" applyFill="1" applyBorder="1" applyAlignment="1">
      <alignment horizontal="center" vertical="center"/>
    </xf>
    <xf numFmtId="0" fontId="3" fillId="0" borderId="0" xfId="0" applyFont="1" applyAlignment="1">
      <alignment horizontal="left"/>
    </xf>
    <xf numFmtId="0" fontId="16" fillId="9" borderId="48" xfId="0" applyFont="1" applyFill="1" applyBorder="1" applyAlignment="1">
      <alignment horizontal="center" vertical="center" wrapText="1"/>
    </xf>
    <xf numFmtId="0" fontId="16" fillId="9" borderId="49" xfId="0" applyFont="1" applyFill="1" applyBorder="1" applyAlignment="1">
      <alignment horizontal="center" vertical="center" wrapText="1"/>
    </xf>
    <xf numFmtId="0" fontId="16" fillId="9" borderId="50" xfId="0" applyFont="1" applyFill="1" applyBorder="1" applyAlignment="1">
      <alignment horizontal="center" vertical="center" wrapText="1"/>
    </xf>
    <xf numFmtId="0" fontId="17" fillId="9" borderId="48" xfId="0" applyFont="1" applyFill="1" applyBorder="1" applyAlignment="1">
      <alignment horizontal="center" vertical="center" wrapText="1"/>
    </xf>
    <xf numFmtId="0" fontId="17" fillId="9" borderId="49" xfId="0" applyFont="1" applyFill="1" applyBorder="1" applyAlignment="1">
      <alignment horizontal="center" vertical="center" wrapText="1"/>
    </xf>
    <xf numFmtId="0" fontId="17" fillId="9" borderId="50" xfId="0" applyFont="1" applyFill="1" applyBorder="1" applyAlignment="1">
      <alignment horizontal="center" vertical="center" wrapText="1"/>
    </xf>
    <xf numFmtId="0" fontId="19" fillId="5" borderId="54" xfId="0" applyFont="1" applyFill="1" applyBorder="1" applyAlignment="1">
      <alignment horizontal="center"/>
    </xf>
    <xf numFmtId="0" fontId="19" fillId="5" borderId="55" xfId="0" applyFont="1" applyFill="1" applyBorder="1" applyAlignment="1">
      <alignment horizontal="center"/>
    </xf>
    <xf numFmtId="0" fontId="19" fillId="5" borderId="56" xfId="0" applyFont="1" applyFill="1" applyBorder="1" applyAlignment="1">
      <alignment horizontal="center"/>
    </xf>
    <xf numFmtId="0" fontId="12" fillId="0" borderId="54" xfId="0" applyFont="1" applyBorder="1" applyAlignment="1">
      <alignment horizontal="center"/>
    </xf>
    <xf numFmtId="0" fontId="12" fillId="0" borderId="55" xfId="0" applyFont="1" applyBorder="1" applyAlignment="1">
      <alignment horizontal="center"/>
    </xf>
    <xf numFmtId="0" fontId="12" fillId="0" borderId="56" xfId="0" applyFont="1" applyBorder="1" applyAlignment="1">
      <alignment horizontal="center"/>
    </xf>
    <xf numFmtId="0" fontId="0" fillId="6" borderId="48" xfId="0" applyFill="1" applyBorder="1" applyAlignment="1">
      <alignment horizontal="center" vertical="center" wrapText="1"/>
    </xf>
    <xf numFmtId="0" fontId="0" fillId="6" borderId="49" xfId="0" applyFill="1" applyBorder="1" applyAlignment="1">
      <alignment horizontal="center" vertical="center" wrapText="1"/>
    </xf>
    <xf numFmtId="0" fontId="0" fillId="6" borderId="50" xfId="0" applyFill="1" applyBorder="1" applyAlignment="1">
      <alignment horizontal="center" vertical="center" wrapText="1"/>
    </xf>
    <xf numFmtId="0" fontId="12" fillId="5" borderId="51" xfId="0" applyFont="1" applyFill="1" applyBorder="1" applyAlignment="1" applyProtection="1">
      <alignment horizontal="center" vertical="center"/>
      <protection locked="0"/>
    </xf>
    <xf numFmtId="0" fontId="12" fillId="5" borderId="53" xfId="0" applyFont="1" applyFill="1" applyBorder="1" applyAlignment="1" applyProtection="1">
      <alignment horizontal="center" vertical="center"/>
      <protection locked="0"/>
    </xf>
    <xf numFmtId="0" fontId="19" fillId="4" borderId="54" xfId="0" applyFont="1" applyFill="1" applyBorder="1" applyAlignment="1">
      <alignment horizontal="center"/>
    </xf>
    <xf numFmtId="0" fontId="19" fillId="4" borderId="55" xfId="0" applyFont="1" applyFill="1" applyBorder="1" applyAlignment="1">
      <alignment horizontal="center"/>
    </xf>
    <xf numFmtId="0" fontId="19" fillId="4" borderId="56" xfId="0" applyFont="1" applyFill="1" applyBorder="1" applyAlignment="1">
      <alignment horizontal="center"/>
    </xf>
    <xf numFmtId="0" fontId="12" fillId="10" borderId="48" xfId="0" applyFont="1" applyFill="1" applyBorder="1" applyAlignment="1">
      <alignment horizontal="center" vertical="center" wrapText="1"/>
    </xf>
    <xf numFmtId="0" fontId="12" fillId="10" borderId="49" xfId="0" applyFont="1" applyFill="1" applyBorder="1" applyAlignment="1">
      <alignment horizontal="center" vertical="center" wrapText="1"/>
    </xf>
    <xf numFmtId="0" fontId="12" fillId="10" borderId="50" xfId="0" applyFont="1" applyFill="1" applyBorder="1" applyAlignment="1">
      <alignment horizontal="center" vertical="center" wrapText="1"/>
    </xf>
    <xf numFmtId="0" fontId="3" fillId="17" borderId="5" xfId="0" applyFont="1" applyFill="1" applyBorder="1" applyAlignment="1">
      <alignment horizontal="center" vertical="center"/>
    </xf>
    <xf numFmtId="0" fontId="3" fillId="17" borderId="6" xfId="0" applyFont="1" applyFill="1" applyBorder="1" applyAlignment="1">
      <alignment horizontal="center" vertical="center"/>
    </xf>
    <xf numFmtId="0" fontId="3" fillId="17" borderId="7" xfId="0" applyFont="1" applyFill="1" applyBorder="1" applyAlignment="1">
      <alignment horizontal="center" vertical="center"/>
    </xf>
    <xf numFmtId="0" fontId="3" fillId="17" borderId="17" xfId="0" applyFont="1" applyFill="1" applyBorder="1" applyAlignment="1">
      <alignment horizontal="center" vertical="center"/>
    </xf>
    <xf numFmtId="0" fontId="3" fillId="17" borderId="18" xfId="0" applyFont="1" applyFill="1" applyBorder="1" applyAlignment="1">
      <alignment horizontal="center" vertical="center"/>
    </xf>
    <xf numFmtId="0" fontId="3" fillId="17" borderId="19" xfId="0" applyFont="1" applyFill="1" applyBorder="1" applyAlignment="1">
      <alignment horizontal="center" vertical="center"/>
    </xf>
    <xf numFmtId="0" fontId="19" fillId="4" borderId="32" xfId="0" applyFont="1" applyFill="1" applyBorder="1" applyAlignment="1">
      <alignment horizontal="center"/>
    </xf>
    <xf numFmtId="0" fontId="19" fillId="4" borderId="33" xfId="0" applyFont="1" applyFill="1" applyBorder="1" applyAlignment="1">
      <alignment horizontal="center"/>
    </xf>
    <xf numFmtId="0" fontId="19" fillId="4" borderId="34" xfId="0" applyFont="1" applyFill="1" applyBorder="1" applyAlignment="1">
      <alignment horizontal="center"/>
    </xf>
    <xf numFmtId="0" fontId="12" fillId="0" borderId="51" xfId="0" applyFont="1" applyBorder="1" applyAlignment="1">
      <alignment horizontal="center" vertical="center"/>
    </xf>
    <xf numFmtId="0" fontId="12" fillId="0" borderId="53" xfId="0" applyFont="1" applyBorder="1" applyAlignment="1">
      <alignment horizontal="center" vertical="center"/>
    </xf>
    <xf numFmtId="0" fontId="3" fillId="7" borderId="57" xfId="0" applyFont="1" applyFill="1" applyBorder="1" applyAlignment="1">
      <alignment horizontal="center" vertical="center"/>
    </xf>
    <xf numFmtId="0" fontId="3" fillId="7" borderId="59" xfId="0" applyFont="1" applyFill="1" applyBorder="1" applyAlignment="1">
      <alignment horizontal="center" vertical="center"/>
    </xf>
    <xf numFmtId="0" fontId="3" fillId="7" borderId="23" xfId="0" applyFont="1" applyFill="1" applyBorder="1" applyAlignment="1">
      <alignment horizontal="center" vertical="center"/>
    </xf>
    <xf numFmtId="0" fontId="3" fillId="7" borderId="24" xfId="0" applyFont="1" applyFill="1" applyBorder="1" applyAlignment="1">
      <alignment horizontal="center" vertical="center"/>
    </xf>
    <xf numFmtId="0" fontId="3" fillId="7" borderId="25" xfId="0" applyFont="1" applyFill="1" applyBorder="1" applyAlignment="1">
      <alignment horizontal="center" vertical="center"/>
    </xf>
    <xf numFmtId="0" fontId="3" fillId="7" borderId="27" xfId="0" applyFont="1" applyFill="1" applyBorder="1" applyAlignment="1">
      <alignment horizontal="center" vertical="center"/>
    </xf>
    <xf numFmtId="0" fontId="3" fillId="20" borderId="5" xfId="0" applyFont="1" applyFill="1" applyBorder="1" applyAlignment="1">
      <alignment horizontal="center" vertical="center"/>
    </xf>
    <xf numFmtId="0" fontId="3" fillId="20" borderId="6" xfId="0" applyFont="1" applyFill="1" applyBorder="1" applyAlignment="1">
      <alignment horizontal="center" vertical="center"/>
    </xf>
    <xf numFmtId="0" fontId="3" fillId="20" borderId="7" xfId="0" applyFont="1" applyFill="1" applyBorder="1" applyAlignment="1">
      <alignment horizontal="center" vertical="center"/>
    </xf>
    <xf numFmtId="0" fontId="3" fillId="20" borderId="17" xfId="0" applyFont="1" applyFill="1" applyBorder="1" applyAlignment="1">
      <alignment horizontal="center" vertical="center"/>
    </xf>
    <xf numFmtId="0" fontId="3" fillId="20" borderId="18" xfId="0" applyFont="1" applyFill="1" applyBorder="1" applyAlignment="1">
      <alignment horizontal="center" vertical="center"/>
    </xf>
    <xf numFmtId="0" fontId="3" fillId="20" borderId="19" xfId="0" applyFont="1" applyFill="1" applyBorder="1" applyAlignment="1">
      <alignment horizontal="center" vertical="center"/>
    </xf>
    <xf numFmtId="0" fontId="3" fillId="20" borderId="5" xfId="0" applyFont="1" applyFill="1" applyBorder="1" applyAlignment="1">
      <alignment horizontal="center" vertical="center" wrapText="1"/>
    </xf>
    <xf numFmtId="0" fontId="3" fillId="20" borderId="7" xfId="0" applyFont="1" applyFill="1" applyBorder="1" applyAlignment="1">
      <alignment horizontal="center" vertical="center" wrapText="1"/>
    </xf>
    <xf numFmtId="0" fontId="3" fillId="20" borderId="17" xfId="0" applyFont="1" applyFill="1" applyBorder="1" applyAlignment="1">
      <alignment horizontal="center" vertical="center" wrapText="1"/>
    </xf>
    <xf numFmtId="0" fontId="3" fillId="20" borderId="19" xfId="0" applyFont="1" applyFill="1" applyBorder="1" applyAlignment="1">
      <alignment horizontal="center" vertical="center" wrapText="1"/>
    </xf>
    <xf numFmtId="0" fontId="3" fillId="6" borderId="48" xfId="0" applyFont="1" applyFill="1" applyBorder="1" applyAlignment="1">
      <alignment horizontal="center" vertical="center" wrapText="1"/>
    </xf>
    <xf numFmtId="0" fontId="3" fillId="6" borderId="4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20" fillId="0" borderId="9" xfId="3" applyFont="1" applyBorder="1" applyAlignment="1">
      <alignment horizontal="center" vertical="center" textRotation="90"/>
    </xf>
    <xf numFmtId="0" fontId="29" fillId="21" borderId="1" xfId="4" applyFont="1" applyFill="1" applyBorder="1" applyAlignment="1" applyProtection="1">
      <alignment horizontal="center" vertical="center" wrapText="1"/>
      <protection locked="0"/>
    </xf>
    <xf numFmtId="0" fontId="20" fillId="0" borderId="0" xfId="3" applyFont="1" applyAlignment="1">
      <alignment horizontal="center"/>
    </xf>
    <xf numFmtId="0" fontId="21" fillId="0" borderId="0" xfId="3" applyFont="1" applyAlignment="1">
      <alignment horizontal="center" vertical="center" textRotation="90"/>
    </xf>
    <xf numFmtId="0" fontId="20" fillId="0" borderId="9" xfId="3" applyFont="1" applyBorder="1" applyAlignment="1">
      <alignment horizontal="center" vertical="center" textRotation="90" wrapText="1"/>
    </xf>
    <xf numFmtId="0" fontId="3" fillId="0" borderId="1" xfId="0" applyFont="1" applyBorder="1" applyAlignment="1">
      <alignment horizontal="center"/>
    </xf>
    <xf numFmtId="0" fontId="3" fillId="0" borderId="1" xfId="0" applyFont="1" applyBorder="1" applyAlignment="1">
      <alignment horizontal="center" vertical="center" wrapText="1"/>
    </xf>
  </cellXfs>
  <cellStyles count="8">
    <cellStyle name="Comma 3 2" xfId="6" xr:uid="{00000000-0005-0000-0000-000000000000}"/>
    <cellStyle name="Normal" xfId="0" builtinId="0"/>
    <cellStyle name="Normal 2" xfId="3" xr:uid="{00000000-0005-0000-0000-000002000000}"/>
    <cellStyle name="Normal 2 2" xfId="4" xr:uid="{00000000-0005-0000-0000-000003000000}"/>
    <cellStyle name="Normal 3" xfId="2" xr:uid="{00000000-0005-0000-0000-000004000000}"/>
    <cellStyle name="Normal 3 2" xfId="5" xr:uid="{00000000-0005-0000-0000-000005000000}"/>
    <cellStyle name="Normal 36" xfId="7" xr:uid="{00000000-0005-0000-0000-00000600000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List" dx="22" fmlaRange="HAV!$A$2:$A$1048576" noThreeD="1" sel="0" val="0"/>
</file>

<file path=xl/ctrlProps/ctrlProp2.xml><?xml version="1.0" encoding="utf-8"?>
<formControlPr xmlns="http://schemas.microsoft.com/office/spreadsheetml/2009/9/main" objectType="List" dx="22" fmlaRange="HAV!$C$2:$C$1048576" noThreeD="1" sel="1" val="0"/>
</file>

<file path=xl/ctrlProps/ctrlProp3.xml><?xml version="1.0" encoding="utf-8"?>
<formControlPr xmlns="http://schemas.microsoft.com/office/spreadsheetml/2009/9/main" objectType="List" dx="22" fmlaRange="HAV!$G$2:$G$1048576" noThreeD="1" sel="1" val="0"/>
</file>

<file path=xl/ctrlProps/ctrlProp4.xml><?xml version="1.0" encoding="utf-8"?>
<formControlPr xmlns="http://schemas.microsoft.com/office/spreadsheetml/2009/9/main" objectType="List" dx="22" fmlaRange="HAV!$M$2:$M$1048576" noThreeD="1" sel="0" val="0"/>
</file>

<file path=xl/ctrlProps/ctrlProp5.xml><?xml version="1.0" encoding="utf-8"?>
<formControlPr xmlns="http://schemas.microsoft.com/office/spreadsheetml/2009/9/main" objectType="List" dx="22" fmlaRange="HAV!$B$2:$B$1048576" noThreeD="1" sel="1" val="0"/>
</file>

<file path=xl/ctrlProps/ctrlProp6.xml><?xml version="1.0" encoding="utf-8"?>
<formControlPr xmlns="http://schemas.microsoft.com/office/spreadsheetml/2009/9/main" objectType="List" dx="22" fmlaRange="HAV!$D$2:$D$1048576" noThreeD="1" sel="0" val="0"/>
</file>

<file path=xl/ctrlProps/ctrlProp7.xml><?xml version="1.0" encoding="utf-8"?>
<formControlPr xmlns="http://schemas.microsoft.com/office/spreadsheetml/2009/9/main" objectType="List" dx="22" fmlaRange="HAV!$H$2:$H$1048576" noThreeD="1" sel="13" val="12"/>
</file>

<file path=xl/ctrlProps/ctrlProp8.xml><?xml version="1.0" encoding="utf-8"?>
<formControlPr xmlns="http://schemas.microsoft.com/office/spreadsheetml/2009/9/main" objectType="List" dx="22" fmlaRange="HAV!$N$2:$N$1048576" noThreeD="1" sel="0" val="0"/>
</file>

<file path=xl/ctrlProps/ctrlProp9.xml><?xml version="1.0" encoding="utf-8"?>
<formControlPr xmlns="http://schemas.microsoft.com/office/spreadsheetml/2009/9/main" objectType="List" dx="22" fmlaRange="HAV!$E$2:$E$1048576" noThreeD="1" sel="0" val="0"/>
</file>

<file path=xl/ctrlProps/ctrlProp10.xml><?xml version="1.0" encoding="utf-8"?>
<formControlPr xmlns="http://schemas.microsoft.com/office/spreadsheetml/2009/9/main" objectType="List" dx="22" fmlaRange="HAV!$F$2:$F$1048576" noThreeD="1" sel="0" val="0"/>
</file>

<file path=xl/ctrlProps/ctrlProp11.xml><?xml version="1.0" encoding="utf-8"?>
<formControlPr xmlns="http://schemas.microsoft.com/office/spreadsheetml/2009/9/main" objectType="List" dx="22" fmlaRange="HAV!$I$2:$I$1048576" noThreeD="1" sel="1" val="0"/>
</file>

<file path=xl/ctrlProps/ctrlProp12.xml><?xml version="1.0" encoding="utf-8"?>
<formControlPr xmlns="http://schemas.microsoft.com/office/spreadsheetml/2009/9/main" objectType="List" dx="22" fmlaRange="HAV!$O$2:$O$1048576" noThreeD="1" sel="0" val="0"/>
</file>

<file path=xl/ctrlProps/ctrlProp13.xml><?xml version="1.0" encoding="utf-8"?>
<formControlPr xmlns="http://schemas.microsoft.com/office/spreadsheetml/2009/9/main" objectType="List" dx="22" fmlaRange="HAV!$J$2:$J$1048576" noThreeD="1" sel="0" val="0"/>
</file>

<file path=xl/ctrlProps/ctrlProp14.xml><?xml version="1.0" encoding="utf-8"?>
<formControlPr xmlns="http://schemas.microsoft.com/office/spreadsheetml/2009/9/main" objectType="List" dx="22" fmlaRange="HAV!$K$2:$K$1048576" noThreeD="1" sel="0" val="0"/>
</file>

<file path=xl/ctrlProps/ctrlProp15.xml><?xml version="1.0" encoding="utf-8"?>
<formControlPr xmlns="http://schemas.microsoft.com/office/spreadsheetml/2009/9/main" objectType="List" dx="22" fmlaRange="HAV!$L$2:$L$1048576" noThreeD="1" sel="8" val="0"/>
</file>

<file path=xl/ctrlProps/ctrlProp16.xml><?xml version="1.0" encoding="utf-8"?>
<formControlPr xmlns="http://schemas.microsoft.com/office/spreadsheetml/2009/9/main" objectType="List" dx="22" fmlaRange="HAV!$P$2:$P$1048576" noThreeD="1" sel="0"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0</xdr:row>
      <xdr:rowOff>123825</xdr:rowOff>
    </xdr:from>
    <xdr:to>
      <xdr:col>1</xdr:col>
      <xdr:colOff>522301</xdr:colOff>
      <xdr:row>2</xdr:row>
      <xdr:rowOff>38100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23825"/>
          <a:ext cx="1046176" cy="295275"/>
        </a:xfrm>
        <a:prstGeom prst="rect">
          <a:avLst/>
        </a:prstGeom>
      </xdr:spPr>
    </xdr:pic>
    <xdr:clientData/>
  </xdr:twoCellAnchor>
  <xdr:twoCellAnchor editAs="oneCell">
    <xdr:from>
      <xdr:col>13</xdr:col>
      <xdr:colOff>271904</xdr:colOff>
      <xdr:row>0</xdr:row>
      <xdr:rowOff>69849</xdr:rowOff>
    </xdr:from>
    <xdr:to>
      <xdr:col>15</xdr:col>
      <xdr:colOff>19049</xdr:colOff>
      <xdr:row>3</xdr:row>
      <xdr:rowOff>3175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114154" y="69849"/>
          <a:ext cx="1017145" cy="504826"/>
        </a:xfrm>
        <a:prstGeom prst="rect">
          <a:avLst/>
        </a:prstGeom>
      </xdr:spPr>
    </xdr:pic>
    <xdr:clientData/>
  </xdr:twoCellAnchor>
  <xdr:twoCellAnchor>
    <xdr:from>
      <xdr:col>4</xdr:col>
      <xdr:colOff>419100</xdr:colOff>
      <xdr:row>2</xdr:row>
      <xdr:rowOff>76200</xdr:rowOff>
    </xdr:from>
    <xdr:to>
      <xdr:col>10</xdr:col>
      <xdr:colOff>400050</xdr:colOff>
      <xdr:row>4</xdr:row>
      <xdr:rowOff>0</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2857500" y="457200"/>
          <a:ext cx="3638550" cy="304800"/>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400" b="1">
              <a:latin typeface="Frutiger LT Std 45 Light" panose="020B0402020204020204" pitchFamily="34" charset="0"/>
            </a:rPr>
            <a:t>PETUNJUK PENGGUNAAN</a:t>
          </a:r>
        </a:p>
      </xdr:txBody>
    </xdr:sp>
    <xdr:clientData/>
  </xdr:twoCellAnchor>
  <xdr:twoCellAnchor>
    <xdr:from>
      <xdr:col>0</xdr:col>
      <xdr:colOff>542925</xdr:colOff>
      <xdr:row>4</xdr:row>
      <xdr:rowOff>142875</xdr:rowOff>
    </xdr:from>
    <xdr:to>
      <xdr:col>6</xdr:col>
      <xdr:colOff>523875</xdr:colOff>
      <xdr:row>6</xdr:row>
      <xdr:rowOff>0</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542925" y="904875"/>
          <a:ext cx="3638550" cy="23812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200" b="1">
              <a:solidFill>
                <a:sysClr val="windowText" lastClr="000000"/>
              </a:solidFill>
              <a:latin typeface="Frutiger LT Std 45 Light" panose="020B0402020204020204" pitchFamily="34" charset="0"/>
            </a:rPr>
            <a:t>Prinsip</a:t>
          </a:r>
          <a:r>
            <a:rPr lang="en-ID" sz="1200" b="1" baseline="0">
              <a:solidFill>
                <a:sysClr val="windowText" lastClr="000000"/>
              </a:solidFill>
              <a:latin typeface="Frutiger LT Std 45 Light" panose="020B0402020204020204" pitchFamily="34" charset="0"/>
            </a:rPr>
            <a:t> Umum</a:t>
          </a:r>
        </a:p>
        <a:p>
          <a:pPr algn="l"/>
          <a:endParaRPr lang="en-ID" sz="1200" b="1" baseline="0">
            <a:solidFill>
              <a:sysClr val="windowText" lastClr="000000"/>
            </a:solidFill>
            <a:latin typeface="Frutiger LT Std 45 Light" panose="020B0402020204020204" pitchFamily="34" charset="0"/>
          </a:endParaRPr>
        </a:p>
        <a:p>
          <a:pPr algn="l"/>
          <a:endParaRPr lang="en-ID" sz="1200" b="1" baseline="0">
            <a:solidFill>
              <a:sysClr val="windowText" lastClr="000000"/>
            </a:solidFill>
            <a:latin typeface="Frutiger LT Std 45 Light" panose="020B0402020204020204" pitchFamily="34" charset="0"/>
          </a:endParaRPr>
        </a:p>
      </xdr:txBody>
    </xdr:sp>
    <xdr:clientData/>
  </xdr:twoCellAnchor>
  <xdr:twoCellAnchor>
    <xdr:from>
      <xdr:col>0</xdr:col>
      <xdr:colOff>533400</xdr:colOff>
      <xdr:row>13</xdr:row>
      <xdr:rowOff>123825</xdr:rowOff>
    </xdr:from>
    <xdr:to>
      <xdr:col>6</xdr:col>
      <xdr:colOff>514350</xdr:colOff>
      <xdr:row>15</xdr:row>
      <xdr:rowOff>66675</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533400" y="2409825"/>
          <a:ext cx="3638550" cy="3238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D" sz="1200" b="1">
              <a:solidFill>
                <a:sysClr val="windowText" lastClr="000000"/>
              </a:solidFill>
              <a:latin typeface="Frutiger LT Std 45 Light" panose="020B0402020204020204" pitchFamily="34" charset="0"/>
            </a:rPr>
            <a:t>Astra Leadership Competencies</a:t>
          </a:r>
        </a:p>
        <a:p>
          <a:pPr algn="l"/>
          <a:endParaRPr lang="en-ID" sz="1200" b="1" baseline="0">
            <a:solidFill>
              <a:sysClr val="windowText" lastClr="000000"/>
            </a:solidFill>
            <a:latin typeface="Frutiger LT Std 45 Light" panose="020B0402020204020204" pitchFamily="34" charset="0"/>
          </a:endParaRPr>
        </a:p>
        <a:p>
          <a:pPr algn="l"/>
          <a:endParaRPr lang="en-ID" sz="1200" b="1" baseline="0">
            <a:solidFill>
              <a:sysClr val="windowText" lastClr="000000"/>
            </a:solidFill>
            <a:latin typeface="Frutiger LT Std 45 Light" panose="020B0402020204020204" pitchFamily="34" charset="0"/>
          </a:endParaRPr>
        </a:p>
        <a:p>
          <a:pPr algn="l"/>
          <a:endParaRPr lang="en-ID" sz="1200" b="1" baseline="0">
            <a:solidFill>
              <a:sysClr val="windowText" lastClr="000000"/>
            </a:solidFill>
            <a:latin typeface="Frutiger LT Std 45 Light" panose="020B0402020204020204" pitchFamily="34" charset="0"/>
          </a:endParaRPr>
        </a:p>
        <a:p>
          <a:pPr algn="l"/>
          <a:endParaRPr lang="en-ID" sz="1200" b="1" baseline="0">
            <a:solidFill>
              <a:sysClr val="windowText" lastClr="000000"/>
            </a:solidFill>
            <a:latin typeface="Frutiger LT Std 45 Light" panose="020B0402020204020204" pitchFamily="34" charset="0"/>
          </a:endParaRPr>
        </a:p>
      </xdr:txBody>
    </xdr:sp>
    <xdr:clientData/>
  </xdr:twoCellAnchor>
  <xdr:twoCellAnchor editAs="oneCell">
    <xdr:from>
      <xdr:col>0</xdr:col>
      <xdr:colOff>57150</xdr:colOff>
      <xdr:row>25</xdr:row>
      <xdr:rowOff>23939</xdr:rowOff>
    </xdr:from>
    <xdr:to>
      <xdr:col>14</xdr:col>
      <xdr:colOff>600076</xdr:colOff>
      <xdr:row>29</xdr:row>
      <xdr:rowOff>9524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50195"/>
        <a:stretch/>
      </xdr:blipFill>
      <xdr:spPr>
        <a:xfrm>
          <a:off x="57150" y="6319964"/>
          <a:ext cx="9134476" cy="7475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483457</xdr:colOff>
      <xdr:row>8</xdr:row>
      <xdr:rowOff>13223</xdr:rowOff>
    </xdr:from>
    <xdr:to>
      <xdr:col>10</xdr:col>
      <xdr:colOff>266118</xdr:colOff>
      <xdr:row>12</xdr:row>
      <xdr:rowOff>139864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rot="20402865">
          <a:off x="3302857" y="1803923"/>
          <a:ext cx="3354536" cy="888641"/>
        </a:xfrm>
        <a:prstGeom prst="rect">
          <a:avLst/>
        </a:prstGeom>
        <a:noFill/>
      </xdr:spPr>
      <xdr:txBody>
        <a:bodyPr wrap="square" lIns="91440" tIns="45720" rIns="91440" bIns="45720">
          <a:spAutoFit/>
        </a:bodyP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CONTOH</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123825</xdr:rowOff>
    </xdr:from>
    <xdr:to>
      <xdr:col>2</xdr:col>
      <xdr:colOff>150826</xdr:colOff>
      <xdr:row>2</xdr:row>
      <xdr:rowOff>38100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23825"/>
          <a:ext cx="1046176" cy="295275"/>
        </a:xfrm>
        <a:prstGeom prst="rect">
          <a:avLst/>
        </a:prstGeom>
      </xdr:spPr>
    </xdr:pic>
    <xdr:clientData/>
  </xdr:twoCellAnchor>
  <xdr:twoCellAnchor editAs="oneCell">
    <xdr:from>
      <xdr:col>14</xdr:col>
      <xdr:colOff>71879</xdr:colOff>
      <xdr:row>0</xdr:row>
      <xdr:rowOff>60324</xdr:rowOff>
    </xdr:from>
    <xdr:to>
      <xdr:col>15</xdr:col>
      <xdr:colOff>269080</xdr:colOff>
      <xdr:row>3</xdr:row>
      <xdr:rowOff>1587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40229" y="60324"/>
          <a:ext cx="1023496" cy="50482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85725</xdr:colOff>
      <xdr:row>0</xdr:row>
      <xdr:rowOff>123825</xdr:rowOff>
    </xdr:from>
    <xdr:to>
      <xdr:col>1</xdr:col>
      <xdr:colOff>522301</xdr:colOff>
      <xdr:row>2</xdr:row>
      <xdr:rowOff>38100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23825"/>
          <a:ext cx="1046176" cy="295275"/>
        </a:xfrm>
        <a:prstGeom prst="rect">
          <a:avLst/>
        </a:prstGeom>
      </xdr:spPr>
    </xdr:pic>
    <xdr:clientData/>
  </xdr:twoCellAnchor>
  <xdr:twoCellAnchor editAs="oneCell">
    <xdr:from>
      <xdr:col>20</xdr:col>
      <xdr:colOff>71879</xdr:colOff>
      <xdr:row>0</xdr:row>
      <xdr:rowOff>60324</xdr:rowOff>
    </xdr:from>
    <xdr:to>
      <xdr:col>22</xdr:col>
      <xdr:colOff>378473</xdr:colOff>
      <xdr:row>3</xdr:row>
      <xdr:rowOff>706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196704" y="60324"/>
          <a:ext cx="1023495" cy="5048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85725</xdr:colOff>
      <xdr:row>0</xdr:row>
      <xdr:rowOff>123825</xdr:rowOff>
    </xdr:from>
    <xdr:to>
      <xdr:col>2</xdr:col>
      <xdr:colOff>255601</xdr:colOff>
      <xdr:row>2</xdr:row>
      <xdr:rowOff>38100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23825"/>
          <a:ext cx="1046176" cy="295275"/>
        </a:xfrm>
        <a:prstGeom prst="rect">
          <a:avLst/>
        </a:prstGeom>
      </xdr:spPr>
    </xdr:pic>
    <xdr:clientData/>
  </xdr:twoCellAnchor>
  <xdr:twoCellAnchor editAs="oneCell">
    <xdr:from>
      <xdr:col>5</xdr:col>
      <xdr:colOff>1619250</xdr:colOff>
      <xdr:row>0</xdr:row>
      <xdr:rowOff>27214</xdr:rowOff>
    </xdr:from>
    <xdr:to>
      <xdr:col>6</xdr:col>
      <xdr:colOff>603034</xdr:colOff>
      <xdr:row>2</xdr:row>
      <xdr:rowOff>151040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0" y="27214"/>
          <a:ext cx="1038463" cy="504826"/>
        </a:xfrm>
        <a:prstGeom prst="rect">
          <a:avLst/>
        </a:prstGeom>
      </xdr:spPr>
    </xdr:pic>
    <xdr:clientData/>
  </xdr:twoCellAnchor>
  <xdr:twoCellAnchor>
    <xdr:from>
      <xdr:col>4</xdr:col>
      <xdr:colOff>1800226</xdr:colOff>
      <xdr:row>8</xdr:row>
      <xdr:rowOff>108857</xdr:rowOff>
    </xdr:from>
    <xdr:to>
      <xdr:col>5</xdr:col>
      <xdr:colOff>612321</xdr:colOff>
      <xdr:row>10</xdr:row>
      <xdr:rowOff>4082</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6794047" y="1632857"/>
          <a:ext cx="866774" cy="276225"/>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Summarize</a:t>
          </a:r>
        </a:p>
      </xdr:txBody>
    </xdr:sp>
    <xdr:clientData/>
  </xdr:twoCellAnchor>
  <xdr:twoCellAnchor>
    <xdr:from>
      <xdr:col>5</xdr:col>
      <xdr:colOff>717096</xdr:colOff>
      <xdr:row>8</xdr:row>
      <xdr:rowOff>99331</xdr:rowOff>
    </xdr:from>
    <xdr:to>
      <xdr:col>5</xdr:col>
      <xdr:colOff>1630135</xdr:colOff>
      <xdr:row>10</xdr:row>
      <xdr:rowOff>13606</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7765596" y="1623331"/>
          <a:ext cx="913039" cy="295275"/>
        </a:xfrm>
        <a:prstGeom prst="round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Synchronize</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85725</xdr:colOff>
      <xdr:row>0</xdr:row>
      <xdr:rowOff>123825</xdr:rowOff>
    </xdr:from>
    <xdr:to>
      <xdr:col>2</xdr:col>
      <xdr:colOff>255601</xdr:colOff>
      <xdr:row>2</xdr:row>
      <xdr:rowOff>38100</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23825"/>
          <a:ext cx="1046176" cy="295275"/>
        </a:xfrm>
        <a:prstGeom prst="rect">
          <a:avLst/>
        </a:prstGeom>
      </xdr:spPr>
    </xdr:pic>
    <xdr:clientData/>
  </xdr:twoCellAnchor>
  <xdr:twoCellAnchor editAs="oneCell">
    <xdr:from>
      <xdr:col>29</xdr:col>
      <xdr:colOff>198879</xdr:colOff>
      <xdr:row>0</xdr:row>
      <xdr:rowOff>28574</xdr:rowOff>
    </xdr:from>
    <xdr:to>
      <xdr:col>31</xdr:col>
      <xdr:colOff>12699</xdr:colOff>
      <xdr:row>2</xdr:row>
      <xdr:rowOff>152400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57904" y="28574"/>
          <a:ext cx="1033020" cy="504826"/>
        </a:xfrm>
        <a:prstGeom prst="rect">
          <a:avLst/>
        </a:prstGeom>
      </xdr:spPr>
    </xdr:pic>
    <xdr:clientData/>
  </xdr:twoCellAnchor>
  <xdr:twoCellAnchor>
    <xdr:from>
      <xdr:col>1</xdr:col>
      <xdr:colOff>258535</xdr:colOff>
      <xdr:row>4</xdr:row>
      <xdr:rowOff>108857</xdr:rowOff>
    </xdr:from>
    <xdr:to>
      <xdr:col>2</xdr:col>
      <xdr:colOff>594631</xdr:colOff>
      <xdr:row>6</xdr:row>
      <xdr:rowOff>68035</xdr:rowOff>
    </xdr:to>
    <xdr:sp macro="[0]!Summary_Click" textlink="">
      <xdr:nvSpPr>
        <xdr:cNvPr id="5" name="Rectangle: Rounded Corners 4">
          <a:extLst>
            <a:ext uri="{FF2B5EF4-FFF2-40B4-BE49-F238E27FC236}">
              <a16:creationId xmlns:a16="http://schemas.microsoft.com/office/drawing/2014/main" id="{00000000-0008-0000-0600-000005000000}"/>
            </a:ext>
          </a:extLst>
        </xdr:cNvPr>
        <xdr:cNvSpPr/>
      </xdr:nvSpPr>
      <xdr:spPr>
        <a:xfrm>
          <a:off x="530678" y="870857"/>
          <a:ext cx="948417" cy="340178"/>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Summarize</a:t>
          </a:r>
        </a:p>
      </xdr:txBody>
    </xdr:sp>
    <xdr:clientData/>
  </xdr:twoCellAnchor>
  <xdr:twoCellAnchor>
    <xdr:from>
      <xdr:col>1</xdr:col>
      <xdr:colOff>263979</xdr:colOff>
      <xdr:row>6</xdr:row>
      <xdr:rowOff>118987</xdr:rowOff>
    </xdr:from>
    <xdr:to>
      <xdr:col>2</xdr:col>
      <xdr:colOff>581026</xdr:colOff>
      <xdr:row>8</xdr:row>
      <xdr:rowOff>60477</xdr:rowOff>
    </xdr:to>
    <xdr:sp macro="[0]!Sycnhronize_Click" textlink="">
      <xdr:nvSpPr>
        <xdr:cNvPr id="6" name="Rectangle: Rounded Corners 5">
          <a:extLst>
            <a:ext uri="{FF2B5EF4-FFF2-40B4-BE49-F238E27FC236}">
              <a16:creationId xmlns:a16="http://schemas.microsoft.com/office/drawing/2014/main" id="{00000000-0008-0000-0600-000006000000}"/>
            </a:ext>
          </a:extLst>
        </xdr:cNvPr>
        <xdr:cNvSpPr/>
      </xdr:nvSpPr>
      <xdr:spPr>
        <a:xfrm>
          <a:off x="536122" y="1261987"/>
          <a:ext cx="929368" cy="322490"/>
        </a:xfrm>
        <a:prstGeom prst="round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Synchronize</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107950</xdr:colOff>
          <xdr:row>12</xdr:row>
          <xdr:rowOff>19050</xdr:rowOff>
        </xdr:from>
        <xdr:to>
          <xdr:col>5</xdr:col>
          <xdr:colOff>2876550</xdr:colOff>
          <xdr:row>18</xdr:row>
          <xdr:rowOff>19050</xdr:rowOff>
        </xdr:to>
        <xdr:sp macro="" textlink="">
          <xdr:nvSpPr>
            <xdr:cNvPr id="17409" name="List Box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12</xdr:row>
          <xdr:rowOff>19050</xdr:rowOff>
        </xdr:from>
        <xdr:to>
          <xdr:col>4</xdr:col>
          <xdr:colOff>2838450</xdr:colOff>
          <xdr:row>18</xdr:row>
          <xdr:rowOff>19050</xdr:rowOff>
        </xdr:to>
        <xdr:sp macro="" textlink="">
          <xdr:nvSpPr>
            <xdr:cNvPr id="17410" name="List Box 2" hidden="1">
              <a:extLst>
                <a:ext uri="{63B3BB69-23CF-44E3-9099-C40C66FF867C}">
                  <a14:compatExt spid="_x0000_s17410"/>
                </a:ext>
                <a:ext uri="{FF2B5EF4-FFF2-40B4-BE49-F238E27FC236}">
                  <a16:creationId xmlns:a16="http://schemas.microsoft.com/office/drawing/2014/main" id="{00000000-0008-0000-06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12</xdr:row>
          <xdr:rowOff>19050</xdr:rowOff>
        </xdr:from>
        <xdr:to>
          <xdr:col>3</xdr:col>
          <xdr:colOff>2876550</xdr:colOff>
          <xdr:row>18</xdr:row>
          <xdr:rowOff>19050</xdr:rowOff>
        </xdr:to>
        <xdr:sp macro="" textlink="">
          <xdr:nvSpPr>
            <xdr:cNvPr id="17411" name="List Box 3" hidden="1">
              <a:extLst>
                <a:ext uri="{63B3BB69-23CF-44E3-9099-C40C66FF867C}">
                  <a14:compatExt spid="_x0000_s17411"/>
                </a:ext>
                <a:ext uri="{FF2B5EF4-FFF2-40B4-BE49-F238E27FC236}">
                  <a16:creationId xmlns:a16="http://schemas.microsoft.com/office/drawing/2014/main" id="{00000000-0008-0000-06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19050</xdr:rowOff>
        </xdr:from>
        <xdr:to>
          <xdr:col>2</xdr:col>
          <xdr:colOff>2857500</xdr:colOff>
          <xdr:row>18</xdr:row>
          <xdr:rowOff>19050</xdr:rowOff>
        </xdr:to>
        <xdr:sp macro="" textlink="">
          <xdr:nvSpPr>
            <xdr:cNvPr id="17412" name="List Box 4" hidden="1">
              <a:extLst>
                <a:ext uri="{63B3BB69-23CF-44E3-9099-C40C66FF867C}">
                  <a14:compatExt spid="_x0000_s17412"/>
                </a:ext>
                <a:ext uri="{FF2B5EF4-FFF2-40B4-BE49-F238E27FC236}">
                  <a16:creationId xmlns:a16="http://schemas.microsoft.com/office/drawing/2014/main" id="{00000000-0008-0000-06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20</xdr:row>
          <xdr:rowOff>0</xdr:rowOff>
        </xdr:from>
        <xdr:to>
          <xdr:col>5</xdr:col>
          <xdr:colOff>2895600</xdr:colOff>
          <xdr:row>26</xdr:row>
          <xdr:rowOff>0</xdr:rowOff>
        </xdr:to>
        <xdr:sp macro="" textlink="">
          <xdr:nvSpPr>
            <xdr:cNvPr id="17413" name="List Box 5" hidden="1">
              <a:extLst>
                <a:ext uri="{63B3BB69-23CF-44E3-9099-C40C66FF867C}">
                  <a14:compatExt spid="_x0000_s17413"/>
                </a:ext>
                <a:ext uri="{FF2B5EF4-FFF2-40B4-BE49-F238E27FC236}">
                  <a16:creationId xmlns:a16="http://schemas.microsoft.com/office/drawing/2014/main" id="{00000000-0008-0000-06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20</xdr:row>
          <xdr:rowOff>19050</xdr:rowOff>
        </xdr:from>
        <xdr:to>
          <xdr:col>4</xdr:col>
          <xdr:colOff>2851150</xdr:colOff>
          <xdr:row>26</xdr:row>
          <xdr:rowOff>19050</xdr:rowOff>
        </xdr:to>
        <xdr:sp macro="" textlink="">
          <xdr:nvSpPr>
            <xdr:cNvPr id="17414" name="List Box 6" hidden="1">
              <a:extLst>
                <a:ext uri="{63B3BB69-23CF-44E3-9099-C40C66FF867C}">
                  <a14:compatExt spid="_x0000_s17414"/>
                </a:ext>
                <a:ext uri="{FF2B5EF4-FFF2-40B4-BE49-F238E27FC236}">
                  <a16:creationId xmlns:a16="http://schemas.microsoft.com/office/drawing/2014/main" id="{00000000-0008-0000-06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20</xdr:row>
          <xdr:rowOff>19050</xdr:rowOff>
        </xdr:from>
        <xdr:to>
          <xdr:col>3</xdr:col>
          <xdr:colOff>2889250</xdr:colOff>
          <xdr:row>26</xdr:row>
          <xdr:rowOff>19050</xdr:rowOff>
        </xdr:to>
        <xdr:sp macro="" textlink="">
          <xdr:nvSpPr>
            <xdr:cNvPr id="17415" name="List Box 7" hidden="1">
              <a:extLst>
                <a:ext uri="{63B3BB69-23CF-44E3-9099-C40C66FF867C}">
                  <a14:compatExt spid="_x0000_s17415"/>
                </a:ext>
                <a:ext uri="{FF2B5EF4-FFF2-40B4-BE49-F238E27FC236}">
                  <a16:creationId xmlns:a16="http://schemas.microsoft.com/office/drawing/2014/main" id="{00000000-0008-0000-06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20</xdr:row>
          <xdr:rowOff>19050</xdr:rowOff>
        </xdr:from>
        <xdr:to>
          <xdr:col>2</xdr:col>
          <xdr:colOff>2876550</xdr:colOff>
          <xdr:row>26</xdr:row>
          <xdr:rowOff>19050</xdr:rowOff>
        </xdr:to>
        <xdr:sp macro="" textlink="">
          <xdr:nvSpPr>
            <xdr:cNvPr id="17416" name="List Box 8" hidden="1">
              <a:extLst>
                <a:ext uri="{63B3BB69-23CF-44E3-9099-C40C66FF867C}">
                  <a14:compatExt spid="_x0000_s17416"/>
                </a:ext>
                <a:ext uri="{FF2B5EF4-FFF2-40B4-BE49-F238E27FC236}">
                  <a16:creationId xmlns:a16="http://schemas.microsoft.com/office/drawing/2014/main" id="{00000000-0008-0000-06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28</xdr:row>
          <xdr:rowOff>31750</xdr:rowOff>
        </xdr:from>
        <xdr:to>
          <xdr:col>5</xdr:col>
          <xdr:colOff>2895600</xdr:colOff>
          <xdr:row>34</xdr:row>
          <xdr:rowOff>31750</xdr:rowOff>
        </xdr:to>
        <xdr:sp macro="" textlink="">
          <xdr:nvSpPr>
            <xdr:cNvPr id="17417" name="List Box 9" hidden="1">
              <a:extLst>
                <a:ext uri="{63B3BB69-23CF-44E3-9099-C40C66FF867C}">
                  <a14:compatExt spid="_x0000_s17417"/>
                </a:ext>
                <a:ext uri="{FF2B5EF4-FFF2-40B4-BE49-F238E27FC236}">
                  <a16:creationId xmlns:a16="http://schemas.microsoft.com/office/drawing/2014/main" id="{00000000-0008-0000-06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28</xdr:row>
          <xdr:rowOff>31750</xdr:rowOff>
        </xdr:from>
        <xdr:to>
          <xdr:col>4</xdr:col>
          <xdr:colOff>2851150</xdr:colOff>
          <xdr:row>34</xdr:row>
          <xdr:rowOff>31750</xdr:rowOff>
        </xdr:to>
        <xdr:sp macro="" textlink="">
          <xdr:nvSpPr>
            <xdr:cNvPr id="17418" name="List Box 10" hidden="1">
              <a:extLst>
                <a:ext uri="{63B3BB69-23CF-44E3-9099-C40C66FF867C}">
                  <a14:compatExt spid="_x0000_s17418"/>
                </a:ext>
                <a:ext uri="{FF2B5EF4-FFF2-40B4-BE49-F238E27FC236}">
                  <a16:creationId xmlns:a16="http://schemas.microsoft.com/office/drawing/2014/main" id="{00000000-0008-0000-06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28</xdr:row>
          <xdr:rowOff>31750</xdr:rowOff>
        </xdr:from>
        <xdr:to>
          <xdr:col>3</xdr:col>
          <xdr:colOff>2889250</xdr:colOff>
          <xdr:row>34</xdr:row>
          <xdr:rowOff>31750</xdr:rowOff>
        </xdr:to>
        <xdr:sp macro="" textlink="">
          <xdr:nvSpPr>
            <xdr:cNvPr id="17419" name="List Box 11" hidden="1">
              <a:extLst>
                <a:ext uri="{63B3BB69-23CF-44E3-9099-C40C66FF867C}">
                  <a14:compatExt spid="_x0000_s17419"/>
                </a:ext>
                <a:ext uri="{FF2B5EF4-FFF2-40B4-BE49-F238E27FC236}">
                  <a16:creationId xmlns:a16="http://schemas.microsoft.com/office/drawing/2014/main" id="{00000000-0008-0000-06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28</xdr:row>
          <xdr:rowOff>38100</xdr:rowOff>
        </xdr:from>
        <xdr:to>
          <xdr:col>2</xdr:col>
          <xdr:colOff>2876550</xdr:colOff>
          <xdr:row>34</xdr:row>
          <xdr:rowOff>38100</xdr:rowOff>
        </xdr:to>
        <xdr:sp macro="" textlink="">
          <xdr:nvSpPr>
            <xdr:cNvPr id="17420" name="List Box 12" hidden="1">
              <a:extLst>
                <a:ext uri="{63B3BB69-23CF-44E3-9099-C40C66FF867C}">
                  <a14:compatExt spid="_x0000_s17420"/>
                </a:ext>
                <a:ext uri="{FF2B5EF4-FFF2-40B4-BE49-F238E27FC236}">
                  <a16:creationId xmlns:a16="http://schemas.microsoft.com/office/drawing/2014/main" id="{00000000-0008-0000-06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36</xdr:row>
          <xdr:rowOff>19050</xdr:rowOff>
        </xdr:from>
        <xdr:to>
          <xdr:col>5</xdr:col>
          <xdr:colOff>2889250</xdr:colOff>
          <xdr:row>42</xdr:row>
          <xdr:rowOff>19050</xdr:rowOff>
        </xdr:to>
        <xdr:sp macro="" textlink="">
          <xdr:nvSpPr>
            <xdr:cNvPr id="17421" name="List Box 13" hidden="1">
              <a:extLst>
                <a:ext uri="{63B3BB69-23CF-44E3-9099-C40C66FF867C}">
                  <a14:compatExt spid="_x0000_s17421"/>
                </a:ext>
                <a:ext uri="{FF2B5EF4-FFF2-40B4-BE49-F238E27FC236}">
                  <a16:creationId xmlns:a16="http://schemas.microsoft.com/office/drawing/2014/main" id="{00000000-0008-0000-06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36</xdr:row>
          <xdr:rowOff>31750</xdr:rowOff>
        </xdr:from>
        <xdr:to>
          <xdr:col>4</xdr:col>
          <xdr:colOff>2838450</xdr:colOff>
          <xdr:row>42</xdr:row>
          <xdr:rowOff>31750</xdr:rowOff>
        </xdr:to>
        <xdr:sp macro="" textlink="">
          <xdr:nvSpPr>
            <xdr:cNvPr id="17422" name="List Box 14" hidden="1">
              <a:extLst>
                <a:ext uri="{63B3BB69-23CF-44E3-9099-C40C66FF867C}">
                  <a14:compatExt spid="_x0000_s17422"/>
                </a:ext>
                <a:ext uri="{FF2B5EF4-FFF2-40B4-BE49-F238E27FC236}">
                  <a16:creationId xmlns:a16="http://schemas.microsoft.com/office/drawing/2014/main" id="{00000000-0008-0000-06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107950</xdr:colOff>
          <xdr:row>36</xdr:row>
          <xdr:rowOff>31750</xdr:rowOff>
        </xdr:from>
        <xdr:to>
          <xdr:col>3</xdr:col>
          <xdr:colOff>2876550</xdr:colOff>
          <xdr:row>42</xdr:row>
          <xdr:rowOff>31750</xdr:rowOff>
        </xdr:to>
        <xdr:sp macro="" textlink="">
          <xdr:nvSpPr>
            <xdr:cNvPr id="17423" name="List Box 15" hidden="1">
              <a:extLst>
                <a:ext uri="{63B3BB69-23CF-44E3-9099-C40C66FF867C}">
                  <a14:compatExt spid="_x0000_s17423"/>
                </a:ext>
                <a:ext uri="{FF2B5EF4-FFF2-40B4-BE49-F238E27FC236}">
                  <a16:creationId xmlns:a16="http://schemas.microsoft.com/office/drawing/2014/main" id="{00000000-0008-0000-06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36</xdr:row>
          <xdr:rowOff>38100</xdr:rowOff>
        </xdr:from>
        <xdr:to>
          <xdr:col>2</xdr:col>
          <xdr:colOff>2876550</xdr:colOff>
          <xdr:row>42</xdr:row>
          <xdr:rowOff>38100</xdr:rowOff>
        </xdr:to>
        <xdr:sp macro="" textlink="">
          <xdr:nvSpPr>
            <xdr:cNvPr id="17424" name="List Box 16" hidden="1">
              <a:extLst>
                <a:ext uri="{63B3BB69-23CF-44E3-9099-C40C66FF867C}">
                  <a14:compatExt spid="_x0000_s17424"/>
                </a:ext>
                <a:ext uri="{FF2B5EF4-FFF2-40B4-BE49-F238E27FC236}">
                  <a16:creationId xmlns:a16="http://schemas.microsoft.com/office/drawing/2014/main" id="{00000000-0008-0000-06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35719</xdr:colOff>
      <xdr:row>0</xdr:row>
      <xdr:rowOff>108517</xdr:rowOff>
    </xdr:from>
    <xdr:to>
      <xdr:col>2</xdr:col>
      <xdr:colOff>280434</xdr:colOff>
      <xdr:row>2</xdr:row>
      <xdr:rowOff>70417</xdr:rowOff>
    </xdr:to>
    <xdr:pic>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719" y="108517"/>
          <a:ext cx="1054340" cy="285750"/>
        </a:xfrm>
        <a:prstGeom prst="rect">
          <a:avLst/>
        </a:prstGeom>
      </xdr:spPr>
    </xdr:pic>
    <xdr:clientData/>
  </xdr:twoCellAnchor>
  <xdr:twoCellAnchor editAs="oneCell">
    <xdr:from>
      <xdr:col>5</xdr:col>
      <xdr:colOff>1069181</xdr:colOff>
      <xdr:row>0</xdr:row>
      <xdr:rowOff>71437</xdr:rowOff>
    </xdr:from>
    <xdr:to>
      <xdr:col>5</xdr:col>
      <xdr:colOff>2102661</xdr:colOff>
      <xdr:row>2</xdr:row>
      <xdr:rowOff>242888</xdr:rowOff>
    </xdr:to>
    <xdr:pic>
      <xdr:nvPicPr>
        <xdr:cNvPr id="19" name="Picture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737056" y="71437"/>
          <a:ext cx="1033480" cy="495301"/>
        </a:xfrm>
        <a:prstGeom prst="rect">
          <a:avLst/>
        </a:prstGeom>
      </xdr:spPr>
    </xdr:pic>
    <xdr:clientData/>
  </xdr:twoCellAnchor>
  <xdr:twoCellAnchor>
    <xdr:from>
      <xdr:col>1</xdr:col>
      <xdr:colOff>132907</xdr:colOff>
      <xdr:row>51</xdr:row>
      <xdr:rowOff>155058</xdr:rowOff>
    </xdr:from>
    <xdr:to>
      <xdr:col>2</xdr:col>
      <xdr:colOff>638301</xdr:colOff>
      <xdr:row>53</xdr:row>
      <xdr:rowOff>162968</xdr:rowOff>
    </xdr:to>
    <xdr:sp macro="[0]!InsertAll" textlink="">
      <xdr:nvSpPr>
        <xdr:cNvPr id="20" name="Rectangle: Rounded Corners 19">
          <a:extLst>
            <a:ext uri="{FF2B5EF4-FFF2-40B4-BE49-F238E27FC236}">
              <a16:creationId xmlns:a16="http://schemas.microsoft.com/office/drawing/2014/main" id="{00000000-0008-0000-0700-000014000000}"/>
            </a:ext>
          </a:extLst>
        </xdr:cNvPr>
        <xdr:cNvSpPr/>
      </xdr:nvSpPr>
      <xdr:spPr>
        <a:xfrm>
          <a:off x="504382" y="9375258"/>
          <a:ext cx="943544" cy="331760"/>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Insert</a:t>
          </a:r>
          <a:r>
            <a:rPr lang="en-ID" sz="1100" baseline="0"/>
            <a:t> All</a:t>
          </a:r>
          <a:endParaRPr lang="en-ID"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7:N25"/>
  <sheetViews>
    <sheetView showGridLines="0" view="pageBreakPreview" zoomScaleNormal="100" zoomScaleSheetLayoutView="100" workbookViewId="0"/>
  </sheetViews>
  <sheetFormatPr defaultRowHeight="14.5"/>
  <cols>
    <col min="1" max="1" width="9.26953125" customWidth="1"/>
    <col min="12" max="12" width="9.26953125" customWidth="1"/>
    <col min="14" max="14" width="10" customWidth="1"/>
  </cols>
  <sheetData>
    <row r="7" spans="2:14">
      <c r="B7" s="8" t="s">
        <v>0</v>
      </c>
      <c r="C7" s="303" t="s">
        <v>99</v>
      </c>
      <c r="D7" s="303"/>
      <c r="E7" s="303"/>
      <c r="F7" s="303"/>
      <c r="G7" s="303"/>
      <c r="H7" s="303"/>
      <c r="I7" s="303"/>
      <c r="J7" s="303"/>
      <c r="K7" s="303"/>
      <c r="L7" s="303"/>
      <c r="M7" s="303"/>
      <c r="N7" s="303"/>
    </row>
    <row r="8" spans="2:14" ht="15" customHeight="1">
      <c r="B8" s="301" t="s">
        <v>2</v>
      </c>
      <c r="C8" s="304" t="s">
        <v>24</v>
      </c>
      <c r="D8" s="304"/>
      <c r="E8" s="304"/>
      <c r="F8" s="304"/>
      <c r="G8" s="304"/>
      <c r="H8" s="304"/>
      <c r="I8" s="304"/>
      <c r="J8" s="304"/>
      <c r="K8" s="304"/>
      <c r="L8" s="304"/>
      <c r="M8" s="304"/>
      <c r="N8" s="304"/>
    </row>
    <row r="9" spans="2:14">
      <c r="B9" s="301"/>
      <c r="C9" s="304"/>
      <c r="D9" s="304"/>
      <c r="E9" s="304"/>
      <c r="F9" s="304"/>
      <c r="G9" s="304"/>
      <c r="H9" s="304"/>
      <c r="I9" s="304"/>
      <c r="J9" s="304"/>
      <c r="K9" s="304"/>
      <c r="L9" s="304"/>
      <c r="M9" s="304"/>
      <c r="N9" s="304"/>
    </row>
    <row r="10" spans="2:14" ht="15" customHeight="1">
      <c r="B10" s="7" t="s">
        <v>3</v>
      </c>
      <c r="C10" s="304" t="s">
        <v>25</v>
      </c>
      <c r="D10" s="304"/>
      <c r="E10" s="304"/>
      <c r="F10" s="304"/>
      <c r="G10" s="304"/>
      <c r="H10" s="304"/>
      <c r="I10" s="304"/>
      <c r="J10" s="304"/>
      <c r="K10" s="304"/>
      <c r="L10" s="304"/>
      <c r="M10" s="304"/>
      <c r="N10" s="304"/>
    </row>
    <row r="11" spans="2:14" ht="15" customHeight="1">
      <c r="B11" s="7" t="s">
        <v>4</v>
      </c>
      <c r="C11" s="304" t="s">
        <v>26</v>
      </c>
      <c r="D11" s="304"/>
      <c r="E11" s="304"/>
      <c r="F11" s="304"/>
      <c r="G11" s="304"/>
      <c r="H11" s="304"/>
      <c r="I11" s="304"/>
      <c r="J11" s="304"/>
      <c r="K11" s="304"/>
      <c r="L11" s="304"/>
      <c r="M11" s="304"/>
      <c r="N11" s="304"/>
    </row>
    <row r="12" spans="2:14" ht="15" customHeight="1">
      <c r="B12" s="7" t="s">
        <v>261</v>
      </c>
      <c r="C12" s="304" t="s">
        <v>272</v>
      </c>
      <c r="D12" s="304"/>
      <c r="E12" s="304"/>
      <c r="F12" s="304"/>
      <c r="G12" s="304"/>
      <c r="H12" s="304"/>
      <c r="I12" s="304"/>
      <c r="J12" s="304"/>
      <c r="K12" s="304"/>
      <c r="L12" s="304"/>
      <c r="M12" s="304"/>
      <c r="N12" s="304"/>
    </row>
    <row r="13" spans="2:14" ht="15" customHeight="1">
      <c r="B13" s="7"/>
      <c r="C13" s="304" t="s">
        <v>273</v>
      </c>
      <c r="D13" s="304"/>
      <c r="E13" s="304"/>
      <c r="F13" s="304"/>
      <c r="G13" s="304"/>
      <c r="H13" s="304"/>
      <c r="I13" s="304"/>
      <c r="J13" s="304"/>
      <c r="K13" s="304"/>
      <c r="L13" s="304"/>
      <c r="M13" s="304"/>
      <c r="N13" s="304"/>
    </row>
    <row r="16" spans="2:14">
      <c r="B16" s="9" t="s">
        <v>5</v>
      </c>
      <c r="C16" s="306" t="s">
        <v>6</v>
      </c>
      <c r="D16" s="307"/>
      <c r="E16" s="306" t="s">
        <v>7</v>
      </c>
      <c r="F16" s="308"/>
      <c r="G16" s="308"/>
      <c r="H16" s="308"/>
      <c r="I16" s="308"/>
      <c r="J16" s="308"/>
      <c r="K16" s="308"/>
      <c r="L16" s="308"/>
      <c r="M16" s="308"/>
      <c r="N16" s="307"/>
    </row>
    <row r="17" spans="2:14" ht="36" customHeight="1">
      <c r="B17" s="10">
        <v>1</v>
      </c>
      <c r="C17" s="305" t="s">
        <v>8</v>
      </c>
      <c r="D17" s="305"/>
      <c r="E17" s="302" t="s">
        <v>9</v>
      </c>
      <c r="F17" s="302"/>
      <c r="G17" s="302"/>
      <c r="H17" s="302"/>
      <c r="I17" s="302"/>
      <c r="J17" s="302"/>
      <c r="K17" s="302"/>
      <c r="L17" s="302"/>
      <c r="M17" s="302"/>
      <c r="N17" s="302"/>
    </row>
    <row r="18" spans="2:14" ht="37.5" customHeight="1">
      <c r="B18" s="10">
        <v>2</v>
      </c>
      <c r="C18" s="305" t="s">
        <v>11</v>
      </c>
      <c r="D18" s="305"/>
      <c r="E18" s="302" t="s">
        <v>10</v>
      </c>
      <c r="F18" s="302"/>
      <c r="G18" s="302"/>
      <c r="H18" s="302"/>
      <c r="I18" s="302"/>
      <c r="J18" s="302"/>
      <c r="K18" s="302"/>
      <c r="L18" s="302"/>
      <c r="M18" s="302"/>
      <c r="N18" s="302"/>
    </row>
    <row r="19" spans="2:14" ht="35.25" customHeight="1">
      <c r="B19" s="10">
        <v>3</v>
      </c>
      <c r="C19" s="305" t="s">
        <v>14</v>
      </c>
      <c r="D19" s="305"/>
      <c r="E19" s="302" t="s">
        <v>12</v>
      </c>
      <c r="F19" s="302"/>
      <c r="G19" s="302"/>
      <c r="H19" s="302"/>
      <c r="I19" s="302"/>
      <c r="J19" s="302"/>
      <c r="K19" s="302"/>
      <c r="L19" s="302"/>
      <c r="M19" s="302"/>
      <c r="N19" s="302"/>
    </row>
    <row r="20" spans="2:14" ht="42" customHeight="1">
      <c r="B20" s="10">
        <v>4</v>
      </c>
      <c r="C20" s="305" t="s">
        <v>15</v>
      </c>
      <c r="D20" s="305"/>
      <c r="E20" s="302" t="s">
        <v>13</v>
      </c>
      <c r="F20" s="302"/>
      <c r="G20" s="302"/>
      <c r="H20" s="302"/>
      <c r="I20" s="302"/>
      <c r="J20" s="302"/>
      <c r="K20" s="302"/>
      <c r="L20" s="302"/>
      <c r="M20" s="302"/>
      <c r="N20" s="302"/>
    </row>
    <row r="21" spans="2:14" ht="28.5" customHeight="1">
      <c r="B21" s="10">
        <v>5</v>
      </c>
      <c r="C21" s="305" t="s">
        <v>17</v>
      </c>
      <c r="D21" s="305"/>
      <c r="E21" s="302" t="s">
        <v>16</v>
      </c>
      <c r="F21" s="302"/>
      <c r="G21" s="302"/>
      <c r="H21" s="302"/>
      <c r="I21" s="302"/>
      <c r="J21" s="302"/>
      <c r="K21" s="302"/>
      <c r="L21" s="302"/>
      <c r="M21" s="302"/>
      <c r="N21" s="302"/>
    </row>
    <row r="22" spans="2:14" ht="27.75" customHeight="1">
      <c r="B22" s="10">
        <v>6</v>
      </c>
      <c r="C22" s="305" t="s">
        <v>19</v>
      </c>
      <c r="D22" s="305"/>
      <c r="E22" s="302" t="s">
        <v>18</v>
      </c>
      <c r="F22" s="302"/>
      <c r="G22" s="302"/>
      <c r="H22" s="302"/>
      <c r="I22" s="302"/>
      <c r="J22" s="302"/>
      <c r="K22" s="302"/>
      <c r="L22" s="302"/>
      <c r="M22" s="302"/>
      <c r="N22" s="302"/>
    </row>
    <row r="23" spans="2:14" ht="25.5" customHeight="1">
      <c r="B23" s="10">
        <v>7</v>
      </c>
      <c r="C23" s="305" t="s">
        <v>21</v>
      </c>
      <c r="D23" s="305"/>
      <c r="E23" s="302" t="s">
        <v>20</v>
      </c>
      <c r="F23" s="302"/>
      <c r="G23" s="302"/>
      <c r="H23" s="302"/>
      <c r="I23" s="302"/>
      <c r="J23" s="302"/>
      <c r="K23" s="302"/>
      <c r="L23" s="302"/>
      <c r="M23" s="302"/>
      <c r="N23" s="302"/>
    </row>
    <row r="24" spans="2:14" ht="38.25" customHeight="1">
      <c r="B24" s="10">
        <v>8</v>
      </c>
      <c r="C24" s="305" t="s">
        <v>23</v>
      </c>
      <c r="D24" s="305"/>
      <c r="E24" s="302" t="s">
        <v>22</v>
      </c>
      <c r="F24" s="302"/>
      <c r="G24" s="302"/>
      <c r="H24" s="302"/>
      <c r="I24" s="302"/>
      <c r="J24" s="302"/>
      <c r="K24" s="302"/>
      <c r="L24" s="302"/>
      <c r="M24" s="302"/>
      <c r="N24" s="302"/>
    </row>
    <row r="25" spans="2:14">
      <c r="D25" s="1"/>
      <c r="E25" s="1"/>
      <c r="F25" s="1"/>
      <c r="G25" s="1"/>
    </row>
  </sheetData>
  <mergeCells count="25">
    <mergeCell ref="E24:N24"/>
    <mergeCell ref="C24:D24"/>
    <mergeCell ref="C16:D16"/>
    <mergeCell ref="E16:N16"/>
    <mergeCell ref="E21:N21"/>
    <mergeCell ref="C21:D21"/>
    <mergeCell ref="E22:N22"/>
    <mergeCell ref="C22:D22"/>
    <mergeCell ref="E23:N23"/>
    <mergeCell ref="C23:D23"/>
    <mergeCell ref="C17:D17"/>
    <mergeCell ref="C18:D18"/>
    <mergeCell ref="C19:D19"/>
    <mergeCell ref="C20:D20"/>
    <mergeCell ref="E17:N17"/>
    <mergeCell ref="E18:N18"/>
    <mergeCell ref="B8:B9"/>
    <mergeCell ref="E19:N19"/>
    <mergeCell ref="E20:N20"/>
    <mergeCell ref="C7:N7"/>
    <mergeCell ref="C8:N9"/>
    <mergeCell ref="C10:N10"/>
    <mergeCell ref="C11:N11"/>
    <mergeCell ref="C12:N12"/>
    <mergeCell ref="C13:N13"/>
  </mergeCells>
  <printOptions horizontalCentered="1" verticalCentered="1"/>
  <pageMargins left="3.937007874015748E-2" right="3.937007874015748E-2" top="0.35433070866141736" bottom="0.35433070866141736" header="0.31496062992125984" footer="0.31496062992125984"/>
  <pageSetup paperSize="9" orientation="landscape" r:id="rId1"/>
  <headerFooter>
    <oddHeader>&amp;C&amp;"Calibri"&amp;12&amp;K000000 CONFIDENTIAL&amp;1#_x000D_</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10"/>
  <sheetViews>
    <sheetView showGridLines="0" workbookViewId="0">
      <selection activeCell="C3" sqref="C3"/>
    </sheetView>
  </sheetViews>
  <sheetFormatPr defaultColWidth="9.26953125" defaultRowHeight="14.5"/>
  <cols>
    <col min="1" max="1" width="3.26953125" style="76" bestFit="1" customWidth="1"/>
    <col min="2" max="2" width="5" style="76" bestFit="1" customWidth="1"/>
    <col min="3" max="3" width="13.453125" style="76" bestFit="1" customWidth="1"/>
    <col min="4" max="5" width="6.26953125" style="76" bestFit="1" customWidth="1"/>
    <col min="6" max="6" width="8.26953125" style="76" bestFit="1" customWidth="1"/>
    <col min="7" max="7" width="12.26953125" style="76" bestFit="1" customWidth="1"/>
    <col min="8" max="8" width="11" style="76" bestFit="1" customWidth="1"/>
    <col min="9" max="9" width="7.54296875" style="76" bestFit="1" customWidth="1"/>
    <col min="10" max="10" width="22.7265625" style="76" bestFit="1" customWidth="1"/>
    <col min="11" max="11" width="6.54296875" style="76" bestFit="1" customWidth="1"/>
    <col min="12" max="12" width="8.26953125" style="76" bestFit="1" customWidth="1"/>
    <col min="13" max="13" width="6.26953125" style="76" bestFit="1" customWidth="1"/>
    <col min="14" max="14" width="7.7265625" style="76" bestFit="1" customWidth="1"/>
    <col min="15" max="15" width="18.54296875" style="76" bestFit="1" customWidth="1"/>
    <col min="16" max="16" width="10.26953125" style="76" bestFit="1" customWidth="1"/>
    <col min="17" max="17" width="5.54296875" style="76" bestFit="1" customWidth="1"/>
    <col min="18" max="18" width="9.7265625" style="76" bestFit="1" customWidth="1"/>
    <col min="19" max="19" width="4" style="76" bestFit="1" customWidth="1"/>
    <col min="20" max="20" width="3.453125" style="76" bestFit="1" customWidth="1"/>
    <col min="21" max="21" width="7.453125" style="76" bestFit="1" customWidth="1"/>
    <col min="22" max="22" width="2" style="76" bestFit="1" customWidth="1"/>
    <col min="23" max="23" width="7.26953125" style="76" bestFit="1" customWidth="1"/>
    <col min="24" max="24" width="3.26953125" style="76" bestFit="1" customWidth="1"/>
    <col min="25" max="25" width="3.453125" style="76" bestFit="1" customWidth="1"/>
    <col min="26" max="26" width="8.7265625" style="76" bestFit="1" customWidth="1"/>
    <col min="27" max="16384" width="9.26953125" style="76"/>
  </cols>
  <sheetData>
    <row r="1" spans="1:26" s="67" customFormat="1" ht="36">
      <c r="A1" s="55" t="s">
        <v>172</v>
      </c>
      <c r="B1" s="56" t="s">
        <v>27</v>
      </c>
      <c r="C1" s="57" t="s">
        <v>173</v>
      </c>
      <c r="D1" s="58" t="s">
        <v>174</v>
      </c>
      <c r="E1" s="59" t="s">
        <v>175</v>
      </c>
      <c r="F1" s="59" t="s">
        <v>176</v>
      </c>
      <c r="G1" s="60" t="s">
        <v>177</v>
      </c>
      <c r="H1" s="61" t="s">
        <v>178</v>
      </c>
      <c r="I1" s="61" t="s">
        <v>179</v>
      </c>
      <c r="J1" s="60" t="s">
        <v>180</v>
      </c>
      <c r="K1" s="60" t="s">
        <v>181</v>
      </c>
      <c r="L1" s="61" t="s">
        <v>182</v>
      </c>
      <c r="M1" s="61" t="s">
        <v>183</v>
      </c>
      <c r="N1" s="61" t="s">
        <v>184</v>
      </c>
      <c r="O1" s="61" t="s">
        <v>185</v>
      </c>
      <c r="P1" s="61" t="s">
        <v>186</v>
      </c>
      <c r="Q1" s="61" t="s">
        <v>187</v>
      </c>
      <c r="R1" s="61" t="s">
        <v>188</v>
      </c>
      <c r="S1" s="61" t="s">
        <v>189</v>
      </c>
      <c r="T1" s="59" t="s">
        <v>190</v>
      </c>
      <c r="U1" s="59" t="s">
        <v>191</v>
      </c>
      <c r="V1" s="62" t="s">
        <v>192</v>
      </c>
      <c r="W1" s="63" t="s">
        <v>193</v>
      </c>
      <c r="X1" s="64" t="s">
        <v>194</v>
      </c>
      <c r="Y1" s="65" t="s">
        <v>190</v>
      </c>
      <c r="Z1" s="66" t="s">
        <v>195</v>
      </c>
    </row>
    <row r="2" spans="1:26" s="75" customFormat="1">
      <c r="A2" s="68">
        <v>1</v>
      </c>
      <c r="B2" s="68">
        <v>1234</v>
      </c>
      <c r="C2" s="68" t="s">
        <v>196</v>
      </c>
      <c r="D2" s="68">
        <v>5</v>
      </c>
      <c r="E2" s="68" t="s">
        <v>159</v>
      </c>
      <c r="F2" s="68" t="s">
        <v>197</v>
      </c>
      <c r="G2" s="69" t="s">
        <v>198</v>
      </c>
      <c r="H2" s="69" t="s">
        <v>199</v>
      </c>
      <c r="I2" s="69" t="s">
        <v>200</v>
      </c>
      <c r="J2" s="69" t="s">
        <v>201</v>
      </c>
      <c r="K2" s="69" t="s">
        <v>202</v>
      </c>
      <c r="L2" s="69" t="s">
        <v>203</v>
      </c>
      <c r="M2" s="69">
        <v>2008</v>
      </c>
      <c r="N2" s="69" t="s">
        <v>204</v>
      </c>
      <c r="O2" s="69" t="s">
        <v>205</v>
      </c>
      <c r="P2" s="70">
        <v>36610</v>
      </c>
      <c r="Q2" s="71">
        <f ca="1">YEAR(NOW())-YEAR(P2)</f>
        <v>25</v>
      </c>
      <c r="R2" s="70">
        <v>29230</v>
      </c>
      <c r="S2" s="71">
        <f ca="1">YEAR(NOW())-YEAR(R2)</f>
        <v>45</v>
      </c>
      <c r="T2" s="72"/>
      <c r="U2" s="69"/>
      <c r="V2" s="73"/>
      <c r="W2" s="74"/>
      <c r="X2" s="69"/>
      <c r="Y2" s="69"/>
      <c r="Z2" s="69"/>
    </row>
    <row r="3" spans="1:26" s="75" customFormat="1">
      <c r="A3" s="68">
        <v>2</v>
      </c>
      <c r="B3" s="68">
        <v>2345</v>
      </c>
      <c r="C3" s="68" t="s">
        <v>206</v>
      </c>
      <c r="D3" s="68">
        <v>4</v>
      </c>
      <c r="E3" s="68" t="s">
        <v>157</v>
      </c>
      <c r="F3" s="68" t="s">
        <v>207</v>
      </c>
      <c r="G3" s="69" t="s">
        <v>198</v>
      </c>
      <c r="H3" s="69" t="s">
        <v>199</v>
      </c>
      <c r="I3" s="69" t="s">
        <v>200</v>
      </c>
      <c r="J3" s="69" t="s">
        <v>201</v>
      </c>
      <c r="K3" s="69" t="s">
        <v>202</v>
      </c>
      <c r="L3" s="69" t="s">
        <v>203</v>
      </c>
      <c r="M3" s="69">
        <v>2008</v>
      </c>
      <c r="N3" s="69" t="s">
        <v>204</v>
      </c>
      <c r="O3" s="69" t="s">
        <v>205</v>
      </c>
      <c r="P3" s="70">
        <v>36610</v>
      </c>
      <c r="Q3" s="71">
        <f ca="1">YEAR(NOW())-YEAR(P3)</f>
        <v>25</v>
      </c>
      <c r="R3" s="70">
        <v>29230</v>
      </c>
      <c r="S3" s="71">
        <f ca="1">YEAR(NOW())-YEAR(R3)</f>
        <v>45</v>
      </c>
      <c r="T3" s="72"/>
      <c r="U3" s="69"/>
      <c r="V3" s="73"/>
      <c r="W3" s="74"/>
      <c r="X3" s="69"/>
      <c r="Y3" s="69"/>
      <c r="Z3" s="69"/>
    </row>
    <row r="4" spans="1:26">
      <c r="A4" s="68">
        <v>3</v>
      </c>
      <c r="B4" s="68">
        <v>3456</v>
      </c>
      <c r="C4" s="68" t="s">
        <v>208</v>
      </c>
      <c r="D4" s="68">
        <v>5</v>
      </c>
      <c r="E4" s="68" t="s">
        <v>159</v>
      </c>
      <c r="F4" s="68" t="s">
        <v>209</v>
      </c>
      <c r="G4" s="69" t="s">
        <v>198</v>
      </c>
      <c r="H4" s="69" t="s">
        <v>199</v>
      </c>
      <c r="I4" s="69" t="s">
        <v>200</v>
      </c>
      <c r="J4" s="69" t="s">
        <v>210</v>
      </c>
      <c r="K4" s="69" t="s">
        <v>202</v>
      </c>
      <c r="L4" s="69" t="s">
        <v>211</v>
      </c>
      <c r="M4" s="69">
        <v>2008</v>
      </c>
      <c r="N4" s="69" t="s">
        <v>204</v>
      </c>
      <c r="O4" s="69" t="s">
        <v>205</v>
      </c>
      <c r="P4" s="70">
        <v>36611</v>
      </c>
      <c r="Q4" s="71">
        <f ca="1">YEAR(NOW())-YEAR(P4)</f>
        <v>25</v>
      </c>
      <c r="R4" s="70">
        <v>29231</v>
      </c>
      <c r="S4" s="71">
        <f ca="1">YEAR(NOW())-YEAR(R4)</f>
        <v>45</v>
      </c>
      <c r="T4" s="72"/>
      <c r="U4" s="69"/>
      <c r="V4" s="73"/>
      <c r="W4" s="74"/>
      <c r="X4" s="69"/>
      <c r="Y4" s="69"/>
      <c r="Z4" s="69"/>
    </row>
    <row r="5" spans="1:26">
      <c r="A5" s="68">
        <v>4</v>
      </c>
      <c r="B5" s="68">
        <v>4567</v>
      </c>
      <c r="C5" s="68" t="s">
        <v>212</v>
      </c>
      <c r="D5" s="68">
        <v>4</v>
      </c>
      <c r="E5" s="68" t="s">
        <v>157</v>
      </c>
      <c r="F5" s="68" t="s">
        <v>213</v>
      </c>
      <c r="G5" s="69" t="s">
        <v>198</v>
      </c>
      <c r="H5" s="69" t="s">
        <v>199</v>
      </c>
      <c r="I5" s="69" t="s">
        <v>200</v>
      </c>
      <c r="J5" s="69" t="s">
        <v>214</v>
      </c>
      <c r="K5" s="69" t="s">
        <v>202</v>
      </c>
      <c r="L5" s="69" t="s">
        <v>215</v>
      </c>
      <c r="M5" s="69">
        <v>2008</v>
      </c>
      <c r="N5" s="69" t="s">
        <v>204</v>
      </c>
      <c r="O5" s="69" t="s">
        <v>205</v>
      </c>
      <c r="P5" s="70">
        <v>36612</v>
      </c>
      <c r="Q5" s="71">
        <f ca="1">YEAR(NOW())-YEAR(P5)</f>
        <v>25</v>
      </c>
      <c r="R5" s="70">
        <v>29232</v>
      </c>
      <c r="S5" s="71">
        <f ca="1">YEAR(NOW())-YEAR(R5)</f>
        <v>45</v>
      </c>
      <c r="T5" s="72"/>
      <c r="U5" s="69"/>
      <c r="V5" s="73"/>
      <c r="W5" s="74"/>
      <c r="X5" s="69"/>
      <c r="Y5" s="69"/>
      <c r="Z5" s="69"/>
    </row>
    <row r="6" spans="1:26">
      <c r="A6" s="68">
        <v>5</v>
      </c>
      <c r="B6" s="68">
        <v>5678</v>
      </c>
      <c r="C6" s="68" t="s">
        <v>216</v>
      </c>
      <c r="D6" s="68">
        <v>4</v>
      </c>
      <c r="E6" s="68" t="s">
        <v>160</v>
      </c>
      <c r="F6" s="68" t="s">
        <v>217</v>
      </c>
      <c r="G6" s="69" t="s">
        <v>198</v>
      </c>
      <c r="H6" s="69" t="s">
        <v>199</v>
      </c>
      <c r="I6" s="69" t="s">
        <v>200</v>
      </c>
      <c r="J6" s="69" t="s">
        <v>218</v>
      </c>
      <c r="K6" s="69" t="s">
        <v>202</v>
      </c>
      <c r="L6" s="69" t="s">
        <v>215</v>
      </c>
      <c r="M6" s="69">
        <v>2008</v>
      </c>
      <c r="N6" s="69" t="s">
        <v>204</v>
      </c>
      <c r="O6" s="69" t="s">
        <v>205</v>
      </c>
      <c r="P6" s="70">
        <v>36613</v>
      </c>
      <c r="Q6" s="71">
        <f ca="1">YEAR(NOW())-YEAR(P6)</f>
        <v>25</v>
      </c>
      <c r="R6" s="70">
        <v>29233</v>
      </c>
      <c r="S6" s="71">
        <f ca="1">YEAR(NOW())-YEAR(R6)</f>
        <v>45</v>
      </c>
      <c r="T6" s="72"/>
      <c r="U6" s="69"/>
      <c r="V6" s="73"/>
      <c r="W6" s="74"/>
      <c r="X6" s="69"/>
      <c r="Y6" s="69"/>
      <c r="Z6" s="69"/>
    </row>
    <row r="10" spans="1:26">
      <c r="G10" s="77"/>
    </row>
  </sheetData>
  <dataValidations count="2">
    <dataValidation type="list" allowBlank="1" showInputMessage="1" showErrorMessage="1" sqref="J2:J6" xr:uid="{00000000-0002-0000-0100-000000000000}">
      <formula1>"ASMO I, ASMO II, ASMO III, ASMO IV, ASTRA FINANCE COMPANIES &amp; BANKING, AHEME, ASTRA RESOURCES, ASTRA SYSTEM I, ASTRA SYSTEM II, ASTRA INSURANCE COMPANY"</formula1>
    </dataValidation>
    <dataValidation type="list" allowBlank="1" showInputMessage="1" showErrorMessage="1" sqref="L2:L6" xr:uid="{00000000-0002-0000-0100-000001000000}">
      <formula1>"S1, S2, S3"</formula1>
    </dataValidation>
  </dataValidations>
  <pageMargins left="0.7" right="0.7" top="0.75" bottom="0.75" header="0.3" footer="0.3"/>
  <headerFooter>
    <oddHeader>&amp;C&amp;"Calibri"&amp;12&amp;K000000 CONFIDENTIAL&amp;1#_x000D_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4:O39"/>
  <sheetViews>
    <sheetView showGridLines="0" view="pageBreakPreview" zoomScale="80" zoomScaleNormal="100" zoomScaleSheetLayoutView="80" workbookViewId="0">
      <selection activeCell="N20" sqref="N20"/>
    </sheetView>
  </sheetViews>
  <sheetFormatPr defaultColWidth="9.26953125" defaultRowHeight="14.5"/>
  <cols>
    <col min="1" max="1" width="11.7265625" style="15" customWidth="1"/>
    <col min="2" max="2" width="2.7265625" style="15" customWidth="1"/>
    <col min="3" max="3" width="16.26953125" style="15" customWidth="1"/>
    <col min="4" max="4" width="8" style="15" customWidth="1"/>
    <col min="5" max="5" width="16.453125" style="15" customWidth="1"/>
    <col min="6" max="6" width="2.7265625" style="15" customWidth="1"/>
    <col min="7" max="7" width="13.54296875" style="15" customWidth="1"/>
    <col min="8" max="8" width="9.26953125" style="15"/>
    <col min="9" max="9" width="15.7265625" style="15" customWidth="1"/>
    <col min="10" max="10" width="15.26953125" style="15" customWidth="1"/>
    <col min="11" max="11" width="1.7265625" style="15" customWidth="1"/>
    <col min="12" max="12" width="9.26953125" style="15"/>
    <col min="13" max="13" width="17" style="15" customWidth="1"/>
    <col min="14" max="14" width="16" style="15" customWidth="1"/>
    <col min="15" max="15" width="12.26953125" style="15" customWidth="1"/>
    <col min="16" max="16384" width="9.26953125" style="15"/>
  </cols>
  <sheetData>
    <row r="4" spans="1:15">
      <c r="A4" s="336" t="s">
        <v>28</v>
      </c>
      <c r="B4" s="336"/>
      <c r="C4" s="336"/>
      <c r="D4" s="336"/>
      <c r="E4" s="336"/>
      <c r="F4" s="336"/>
      <c r="G4" s="336"/>
      <c r="H4" s="336"/>
      <c r="I4" s="336"/>
      <c r="J4" s="336"/>
      <c r="K4" s="336"/>
      <c r="L4" s="336"/>
      <c r="M4" s="336"/>
      <c r="N4" s="336"/>
      <c r="O4" s="336"/>
    </row>
    <row r="6" spans="1:15">
      <c r="A6" s="3" t="s">
        <v>275</v>
      </c>
      <c r="B6" s="101" t="s">
        <v>31</v>
      </c>
      <c r="C6" s="334"/>
      <c r="D6" s="334"/>
      <c r="E6" s="334"/>
      <c r="G6" s="119"/>
      <c r="H6" s="119"/>
      <c r="I6" s="119"/>
      <c r="J6" s="4" t="s">
        <v>32</v>
      </c>
      <c r="K6" s="4" t="s">
        <v>31</v>
      </c>
      <c r="L6" s="335"/>
      <c r="M6" s="335"/>
      <c r="N6" s="335"/>
      <c r="O6" s="119"/>
    </row>
    <row r="7" spans="1:15">
      <c r="A7" s="4" t="s">
        <v>276</v>
      </c>
      <c r="B7" s="101" t="s">
        <v>31</v>
      </c>
      <c r="C7" s="334"/>
      <c r="D7" s="334"/>
      <c r="E7" s="334"/>
      <c r="G7" s="119"/>
      <c r="H7" s="119"/>
      <c r="I7" s="119"/>
      <c r="J7" s="214">
        <v>2020</v>
      </c>
      <c r="K7" s="4" t="s">
        <v>31</v>
      </c>
      <c r="L7" s="335"/>
      <c r="M7" s="335"/>
      <c r="N7" s="335"/>
      <c r="O7" s="119"/>
    </row>
    <row r="8" spans="1:15">
      <c r="A8" s="3" t="s">
        <v>277</v>
      </c>
      <c r="B8" s="101" t="s">
        <v>31</v>
      </c>
      <c r="C8" s="334"/>
      <c r="D8" s="334"/>
      <c r="E8" s="334"/>
      <c r="G8" s="119"/>
      <c r="H8" s="119"/>
      <c r="I8" s="119"/>
      <c r="J8" s="214">
        <v>2019</v>
      </c>
      <c r="K8" s="4" t="s">
        <v>31</v>
      </c>
      <c r="L8" s="335"/>
      <c r="M8" s="335"/>
      <c r="N8" s="335"/>
      <c r="O8" s="119"/>
    </row>
    <row r="9" spans="1:15">
      <c r="A9" s="4" t="s">
        <v>278</v>
      </c>
      <c r="B9" s="101" t="s">
        <v>31</v>
      </c>
      <c r="C9" s="334"/>
      <c r="D9" s="334"/>
      <c r="E9" s="334"/>
      <c r="G9" s="119"/>
      <c r="H9" s="119"/>
      <c r="I9" s="119"/>
      <c r="J9" s="214">
        <v>2018</v>
      </c>
      <c r="K9" s="4" t="s">
        <v>31</v>
      </c>
      <c r="L9" s="335"/>
      <c r="M9" s="335"/>
      <c r="N9" s="335"/>
      <c r="O9" s="119"/>
    </row>
    <row r="10" spans="1:15">
      <c r="A10" s="4" t="s">
        <v>279</v>
      </c>
      <c r="B10" s="101" t="s">
        <v>31</v>
      </c>
      <c r="C10" s="334"/>
      <c r="D10" s="334"/>
      <c r="E10" s="334"/>
      <c r="F10" s="100"/>
      <c r="G10" s="120"/>
      <c r="H10" s="120"/>
      <c r="I10" s="119"/>
      <c r="J10" s="3" t="s">
        <v>303</v>
      </c>
      <c r="K10" s="4" t="s">
        <v>31</v>
      </c>
      <c r="L10" s="335"/>
      <c r="M10" s="335"/>
      <c r="N10" s="335"/>
      <c r="O10" s="119"/>
    </row>
    <row r="11" spans="1:15">
      <c r="A11" s="4" t="s">
        <v>29</v>
      </c>
      <c r="B11" s="101" t="s">
        <v>31</v>
      </c>
      <c r="C11" s="334"/>
      <c r="D11" s="334"/>
      <c r="E11" s="334"/>
      <c r="F11" s="100"/>
      <c r="G11" s="120"/>
      <c r="H11" s="120"/>
      <c r="I11" s="119"/>
      <c r="J11" s="3" t="s">
        <v>264</v>
      </c>
      <c r="K11" s="4" t="s">
        <v>31</v>
      </c>
      <c r="L11" s="335"/>
      <c r="M11" s="335"/>
      <c r="N11" s="335"/>
      <c r="O11" s="119"/>
    </row>
    <row r="13" spans="1:15" ht="15" thickBot="1">
      <c r="D13" s="16" t="s">
        <v>41</v>
      </c>
      <c r="H13" s="16" t="s">
        <v>41</v>
      </c>
      <c r="L13" s="16" t="s">
        <v>41</v>
      </c>
      <c r="O13" s="16" t="s">
        <v>41</v>
      </c>
    </row>
    <row r="14" spans="1:15" s="6" customFormat="1" ht="15" thickBot="1">
      <c r="A14" s="325" t="s">
        <v>8</v>
      </c>
      <c r="B14" s="326"/>
      <c r="C14" s="327"/>
      <c r="D14" s="111">
        <f>SUM(D16:D18)/3</f>
        <v>4</v>
      </c>
      <c r="E14" s="325" t="s">
        <v>11</v>
      </c>
      <c r="F14" s="326"/>
      <c r="G14" s="327"/>
      <c r="H14" s="111">
        <f>SUM(H16:H22)/7</f>
        <v>3.8571428571428572</v>
      </c>
      <c r="I14" s="326" t="s">
        <v>14</v>
      </c>
      <c r="J14" s="326"/>
      <c r="K14" s="327"/>
      <c r="L14" s="111">
        <f>SUM(L16:L19)/4</f>
        <v>4</v>
      </c>
      <c r="M14" s="325" t="s">
        <v>15</v>
      </c>
      <c r="N14" s="327"/>
      <c r="O14" s="111">
        <f>SUM(O16:O19)/4</f>
        <v>3.5</v>
      </c>
    </row>
    <row r="15" spans="1:15" s="6" customFormat="1">
      <c r="A15" s="317" t="s">
        <v>39</v>
      </c>
      <c r="B15" s="318"/>
      <c r="C15" s="319"/>
      <c r="D15" s="13" t="s">
        <v>40</v>
      </c>
      <c r="E15" s="317" t="s">
        <v>39</v>
      </c>
      <c r="F15" s="318"/>
      <c r="G15" s="319"/>
      <c r="H15" s="14" t="s">
        <v>40</v>
      </c>
      <c r="I15" s="318" t="s">
        <v>39</v>
      </c>
      <c r="J15" s="318"/>
      <c r="K15" s="319"/>
      <c r="L15" s="13" t="s">
        <v>40</v>
      </c>
      <c r="M15" s="328" t="s">
        <v>39</v>
      </c>
      <c r="N15" s="329"/>
      <c r="O15" s="13" t="s">
        <v>40</v>
      </c>
    </row>
    <row r="16" spans="1:15" ht="89.25" customHeight="1">
      <c r="A16" s="310" t="s">
        <v>45</v>
      </c>
      <c r="B16" s="311"/>
      <c r="C16" s="312"/>
      <c r="D16" s="116">
        <v>4</v>
      </c>
      <c r="E16" s="310" t="s">
        <v>42</v>
      </c>
      <c r="F16" s="311"/>
      <c r="G16" s="312"/>
      <c r="H16" s="300">
        <v>4</v>
      </c>
      <c r="I16" s="311" t="s">
        <v>52</v>
      </c>
      <c r="J16" s="311"/>
      <c r="K16" s="312"/>
      <c r="L16" s="116">
        <v>4</v>
      </c>
      <c r="M16" s="330" t="s">
        <v>56</v>
      </c>
      <c r="N16" s="331"/>
      <c r="O16" s="116">
        <v>3.5</v>
      </c>
    </row>
    <row r="17" spans="1:15" ht="110.25" customHeight="1">
      <c r="A17" s="310" t="s">
        <v>46</v>
      </c>
      <c r="B17" s="311"/>
      <c r="C17" s="312"/>
      <c r="D17" s="116">
        <v>4</v>
      </c>
      <c r="E17" s="310" t="s">
        <v>44</v>
      </c>
      <c r="F17" s="311"/>
      <c r="G17" s="312"/>
      <c r="H17" s="300">
        <v>4</v>
      </c>
      <c r="I17" s="311" t="s">
        <v>53</v>
      </c>
      <c r="J17" s="311"/>
      <c r="K17" s="312"/>
      <c r="L17" s="116">
        <v>4</v>
      </c>
      <c r="M17" s="330" t="s">
        <v>57</v>
      </c>
      <c r="N17" s="331"/>
      <c r="O17" s="116">
        <v>3.5</v>
      </c>
    </row>
    <row r="18" spans="1:15" ht="51.75" customHeight="1" thickBot="1">
      <c r="A18" s="313" t="s">
        <v>47</v>
      </c>
      <c r="B18" s="314"/>
      <c r="C18" s="315"/>
      <c r="D18" s="117">
        <v>4</v>
      </c>
      <c r="E18" s="310" t="s">
        <v>43</v>
      </c>
      <c r="F18" s="311"/>
      <c r="G18" s="312"/>
      <c r="H18" s="300">
        <v>4</v>
      </c>
      <c r="I18" s="311" t="s">
        <v>54</v>
      </c>
      <c r="J18" s="311"/>
      <c r="K18" s="312"/>
      <c r="L18" s="116">
        <v>4</v>
      </c>
      <c r="M18" s="330" t="s">
        <v>58</v>
      </c>
      <c r="N18" s="331"/>
      <c r="O18" s="116">
        <v>3.5</v>
      </c>
    </row>
    <row r="19" spans="1:15" ht="38.25" customHeight="1" thickBot="1">
      <c r="A19" s="17"/>
      <c r="B19" s="18"/>
      <c r="C19" s="18"/>
      <c r="D19" s="18"/>
      <c r="E19" s="310" t="s">
        <v>48</v>
      </c>
      <c r="F19" s="311"/>
      <c r="G19" s="312"/>
      <c r="H19" s="300">
        <v>4.5</v>
      </c>
      <c r="I19" s="314" t="s">
        <v>55</v>
      </c>
      <c r="J19" s="314"/>
      <c r="K19" s="315"/>
      <c r="L19" s="118">
        <v>4</v>
      </c>
      <c r="M19" s="332" t="s">
        <v>59</v>
      </c>
      <c r="N19" s="333"/>
      <c r="O19" s="118">
        <v>3.5</v>
      </c>
    </row>
    <row r="20" spans="1:15" ht="39.75" customHeight="1">
      <c r="A20" s="17"/>
      <c r="B20" s="18"/>
      <c r="C20" s="18"/>
      <c r="D20" s="18"/>
      <c r="E20" s="310" t="s">
        <v>49</v>
      </c>
      <c r="F20" s="311"/>
      <c r="G20" s="312"/>
      <c r="H20" s="300">
        <v>3.5</v>
      </c>
      <c r="I20" s="316"/>
      <c r="J20" s="316"/>
      <c r="K20" s="98"/>
      <c r="L20" s="18"/>
      <c r="M20" s="18"/>
      <c r="N20" s="18"/>
      <c r="O20" s="18"/>
    </row>
    <row r="21" spans="1:15" ht="83.25" customHeight="1">
      <c r="A21" s="17"/>
      <c r="B21" s="18"/>
      <c r="C21" s="18"/>
      <c r="D21" s="18"/>
      <c r="E21" s="310" t="s">
        <v>50</v>
      </c>
      <c r="F21" s="311"/>
      <c r="G21" s="312"/>
      <c r="H21" s="300">
        <v>3.5</v>
      </c>
      <c r="I21" s="316"/>
      <c r="J21" s="316"/>
      <c r="K21" s="98"/>
      <c r="L21" s="18"/>
      <c r="M21" s="18"/>
      <c r="N21" s="18"/>
      <c r="O21" s="18"/>
    </row>
    <row r="22" spans="1:15" ht="73.5" customHeight="1" thickBot="1">
      <c r="A22" s="19"/>
      <c r="B22" s="20"/>
      <c r="C22" s="20"/>
      <c r="D22" s="20"/>
      <c r="E22" s="313" t="s">
        <v>51</v>
      </c>
      <c r="F22" s="314"/>
      <c r="G22" s="315"/>
      <c r="H22" s="117">
        <v>3.5</v>
      </c>
      <c r="I22" s="309"/>
      <c r="J22" s="309"/>
      <c r="K22" s="99"/>
      <c r="L22" s="20"/>
      <c r="M22" s="20"/>
      <c r="N22" s="20"/>
      <c r="O22" s="20"/>
    </row>
    <row r="23" spans="1:15" s="28" customFormat="1" ht="17.25" customHeight="1" thickBot="1">
      <c r="A23" s="25"/>
      <c r="B23" s="25"/>
      <c r="C23" s="25"/>
      <c r="D23" s="24" t="s">
        <v>41</v>
      </c>
      <c r="E23" s="26"/>
      <c r="F23" s="26"/>
      <c r="G23" s="26"/>
      <c r="H23" s="24" t="s">
        <v>41</v>
      </c>
      <c r="I23" s="27"/>
      <c r="J23" s="27"/>
      <c r="K23" s="27"/>
      <c r="L23" s="24" t="s">
        <v>41</v>
      </c>
      <c r="M23" s="25"/>
      <c r="N23" s="25"/>
      <c r="O23" s="24" t="s">
        <v>41</v>
      </c>
    </row>
    <row r="24" spans="1:15" s="6" customFormat="1" ht="15" thickBot="1">
      <c r="A24" s="325" t="s">
        <v>17</v>
      </c>
      <c r="B24" s="326"/>
      <c r="C24" s="327"/>
      <c r="D24" s="111">
        <f>SUM(D26:D30)/5</f>
        <v>3.5</v>
      </c>
      <c r="E24" s="325" t="s">
        <v>19</v>
      </c>
      <c r="F24" s="327"/>
      <c r="G24" s="96"/>
      <c r="H24" s="111">
        <f>SUM(H26:H35)/10</f>
        <v>3.5</v>
      </c>
      <c r="I24" s="325" t="s">
        <v>21</v>
      </c>
      <c r="J24" s="326"/>
      <c r="K24" s="327"/>
      <c r="L24" s="111">
        <f>SUM(L26:L32)/7</f>
        <v>3.5</v>
      </c>
      <c r="M24" s="325" t="s">
        <v>23</v>
      </c>
      <c r="N24" s="327"/>
      <c r="O24" s="111">
        <f>SUM(O26:O32)/7</f>
        <v>3.5</v>
      </c>
    </row>
    <row r="25" spans="1:15" s="6" customFormat="1">
      <c r="A25" s="317" t="s">
        <v>39</v>
      </c>
      <c r="B25" s="318"/>
      <c r="C25" s="319"/>
      <c r="D25" s="13" t="s">
        <v>40</v>
      </c>
      <c r="E25" s="328" t="s">
        <v>39</v>
      </c>
      <c r="F25" s="329"/>
      <c r="G25" s="97"/>
      <c r="H25" s="13" t="s">
        <v>40</v>
      </c>
      <c r="I25" s="317" t="s">
        <v>39</v>
      </c>
      <c r="J25" s="318"/>
      <c r="K25" s="319"/>
      <c r="L25" s="13" t="s">
        <v>40</v>
      </c>
      <c r="M25" s="328" t="s">
        <v>39</v>
      </c>
      <c r="N25" s="329"/>
      <c r="O25" s="13" t="s">
        <v>40</v>
      </c>
    </row>
    <row r="26" spans="1:15" ht="47.25" customHeight="1">
      <c r="A26" s="310" t="s">
        <v>60</v>
      </c>
      <c r="B26" s="311"/>
      <c r="C26" s="312"/>
      <c r="D26" s="116">
        <v>3.5</v>
      </c>
      <c r="E26" s="310" t="s">
        <v>69</v>
      </c>
      <c r="F26" s="311"/>
      <c r="G26" s="312"/>
      <c r="H26" s="116">
        <v>3.5</v>
      </c>
      <c r="I26" s="310" t="s">
        <v>75</v>
      </c>
      <c r="J26" s="311"/>
      <c r="K26" s="312"/>
      <c r="L26" s="116">
        <v>3.5</v>
      </c>
      <c r="M26" s="323" t="s">
        <v>82</v>
      </c>
      <c r="N26" s="324"/>
      <c r="O26" s="116">
        <v>3.5</v>
      </c>
    </row>
    <row r="27" spans="1:15" ht="58.5" customHeight="1">
      <c r="A27" s="310" t="s">
        <v>61</v>
      </c>
      <c r="B27" s="311"/>
      <c r="C27" s="312"/>
      <c r="D27" s="116">
        <v>3.5</v>
      </c>
      <c r="E27" s="310" t="s">
        <v>68</v>
      </c>
      <c r="F27" s="311"/>
      <c r="G27" s="312"/>
      <c r="H27" s="116">
        <v>3.5</v>
      </c>
      <c r="I27" s="310" t="s">
        <v>76</v>
      </c>
      <c r="J27" s="311"/>
      <c r="K27" s="312"/>
      <c r="L27" s="116">
        <v>3.5</v>
      </c>
      <c r="M27" s="323" t="s">
        <v>83</v>
      </c>
      <c r="N27" s="324"/>
      <c r="O27" s="116">
        <v>3.5</v>
      </c>
    </row>
    <row r="28" spans="1:15" ht="63.75" customHeight="1">
      <c r="A28" s="310" t="s">
        <v>62</v>
      </c>
      <c r="B28" s="311"/>
      <c r="C28" s="312"/>
      <c r="D28" s="116">
        <v>3.5</v>
      </c>
      <c r="E28" s="310" t="s">
        <v>67</v>
      </c>
      <c r="F28" s="311"/>
      <c r="G28" s="312"/>
      <c r="H28" s="116">
        <v>3.5</v>
      </c>
      <c r="I28" s="310" t="s">
        <v>77</v>
      </c>
      <c r="J28" s="311"/>
      <c r="K28" s="312"/>
      <c r="L28" s="116">
        <v>3.5</v>
      </c>
      <c r="M28" s="323" t="s">
        <v>84</v>
      </c>
      <c r="N28" s="324"/>
      <c r="O28" s="116">
        <v>3.5</v>
      </c>
    </row>
    <row r="29" spans="1:15" ht="81" customHeight="1">
      <c r="A29" s="310" t="s">
        <v>63</v>
      </c>
      <c r="B29" s="311"/>
      <c r="C29" s="312"/>
      <c r="D29" s="116">
        <v>3.5</v>
      </c>
      <c r="E29" s="310" t="s">
        <v>66</v>
      </c>
      <c r="F29" s="311"/>
      <c r="G29" s="312"/>
      <c r="H29" s="116">
        <v>3.5</v>
      </c>
      <c r="I29" s="310" t="s">
        <v>78</v>
      </c>
      <c r="J29" s="311"/>
      <c r="K29" s="312"/>
      <c r="L29" s="116">
        <v>3.5</v>
      </c>
      <c r="M29" s="323" t="s">
        <v>85</v>
      </c>
      <c r="N29" s="324"/>
      <c r="O29" s="116">
        <v>3.5</v>
      </c>
    </row>
    <row r="30" spans="1:15" ht="60" customHeight="1" thickBot="1">
      <c r="A30" s="313" t="s">
        <v>64</v>
      </c>
      <c r="B30" s="314"/>
      <c r="C30" s="315"/>
      <c r="D30" s="117">
        <v>3.5</v>
      </c>
      <c r="E30" s="310" t="s">
        <v>65</v>
      </c>
      <c r="F30" s="311"/>
      <c r="G30" s="312"/>
      <c r="H30" s="116">
        <v>3.5</v>
      </c>
      <c r="I30" s="310" t="s">
        <v>79</v>
      </c>
      <c r="J30" s="311"/>
      <c r="K30" s="312"/>
      <c r="L30" s="116">
        <v>3.5</v>
      </c>
      <c r="M30" s="323" t="s">
        <v>86</v>
      </c>
      <c r="N30" s="324"/>
      <c r="O30" s="116">
        <v>3.5</v>
      </c>
    </row>
    <row r="31" spans="1:15" ht="54" customHeight="1">
      <c r="A31" s="17"/>
      <c r="B31" s="18"/>
      <c r="C31" s="18"/>
      <c r="D31" s="18"/>
      <c r="E31" s="310" t="s">
        <v>70</v>
      </c>
      <c r="F31" s="311"/>
      <c r="G31" s="312"/>
      <c r="H31" s="116">
        <v>3.5</v>
      </c>
      <c r="I31" s="310" t="s">
        <v>80</v>
      </c>
      <c r="J31" s="311"/>
      <c r="K31" s="312"/>
      <c r="L31" s="116">
        <v>3.5</v>
      </c>
      <c r="M31" s="323" t="s">
        <v>87</v>
      </c>
      <c r="N31" s="324"/>
      <c r="O31" s="116">
        <v>3.5</v>
      </c>
    </row>
    <row r="32" spans="1:15" ht="67.5" customHeight="1" thickBot="1">
      <c r="A32" s="17"/>
      <c r="B32" s="18"/>
      <c r="C32" s="18"/>
      <c r="D32" s="18"/>
      <c r="E32" s="310" t="s">
        <v>74</v>
      </c>
      <c r="F32" s="311"/>
      <c r="G32" s="312"/>
      <c r="H32" s="116">
        <v>3.5</v>
      </c>
      <c r="I32" s="313" t="s">
        <v>81</v>
      </c>
      <c r="J32" s="314"/>
      <c r="K32" s="315"/>
      <c r="L32" s="118">
        <v>3.5</v>
      </c>
      <c r="M32" s="320" t="s">
        <v>88</v>
      </c>
      <c r="N32" s="321"/>
      <c r="O32" s="118">
        <v>3.5</v>
      </c>
    </row>
    <row r="33" spans="1:15" ht="59.25" customHeight="1">
      <c r="A33" s="17"/>
      <c r="B33" s="18"/>
      <c r="C33" s="18"/>
      <c r="D33" s="18"/>
      <c r="E33" s="310" t="s">
        <v>73</v>
      </c>
      <c r="F33" s="311"/>
      <c r="G33" s="312"/>
      <c r="H33" s="116">
        <v>3.5</v>
      </c>
      <c r="I33" s="21"/>
      <c r="J33" s="22"/>
      <c r="K33" s="22"/>
      <c r="L33" s="22"/>
      <c r="M33" s="22"/>
      <c r="N33" s="22"/>
      <c r="O33" s="22"/>
    </row>
    <row r="34" spans="1:15" ht="69.75" customHeight="1">
      <c r="A34" s="17"/>
      <c r="B34" s="18"/>
      <c r="C34" s="18"/>
      <c r="D34" s="18"/>
      <c r="E34" s="310" t="s">
        <v>72</v>
      </c>
      <c r="F34" s="311"/>
      <c r="G34" s="312"/>
      <c r="H34" s="116">
        <v>3.5</v>
      </c>
      <c r="I34" s="17"/>
      <c r="J34" s="18"/>
      <c r="K34" s="18"/>
      <c r="L34" s="18"/>
      <c r="M34" s="18"/>
      <c r="N34" s="18"/>
      <c r="O34" s="18"/>
    </row>
    <row r="35" spans="1:15" ht="82.5" customHeight="1" thickBot="1">
      <c r="A35" s="19"/>
      <c r="B35" s="20"/>
      <c r="C35" s="20"/>
      <c r="D35" s="20"/>
      <c r="E35" s="313" t="s">
        <v>71</v>
      </c>
      <c r="F35" s="314"/>
      <c r="G35" s="315"/>
      <c r="H35" s="117">
        <v>3.5</v>
      </c>
      <c r="I35" s="19"/>
      <c r="J35" s="20"/>
      <c r="K35" s="20"/>
      <c r="L35" s="20"/>
      <c r="M35" s="20"/>
      <c r="N35" s="20"/>
      <c r="O35" s="20"/>
    </row>
    <row r="36" spans="1:15">
      <c r="E36" s="23"/>
      <c r="F36" s="23"/>
      <c r="G36" s="23"/>
      <c r="H36" s="23"/>
    </row>
    <row r="37" spans="1:15">
      <c r="E37" s="121" t="s">
        <v>36</v>
      </c>
      <c r="F37" s="122" t="s">
        <v>31</v>
      </c>
      <c r="G37" s="122"/>
      <c r="H37" s="123"/>
      <c r="I37" s="123"/>
      <c r="J37" s="123"/>
      <c r="K37" s="123"/>
      <c r="L37" s="124"/>
      <c r="M37" s="322"/>
      <c r="N37" s="322"/>
    </row>
    <row r="38" spans="1:15">
      <c r="E38" s="125" t="s">
        <v>37</v>
      </c>
      <c r="F38" s="126" t="s">
        <v>31</v>
      </c>
      <c r="G38" s="119" t="s">
        <v>274</v>
      </c>
      <c r="H38" s="119"/>
      <c r="I38" s="119" t="s">
        <v>3</v>
      </c>
      <c r="J38" s="119"/>
      <c r="K38" s="119"/>
      <c r="L38" s="127"/>
    </row>
    <row r="39" spans="1:15">
      <c r="E39" s="128"/>
      <c r="F39" s="129"/>
      <c r="G39" s="129" t="s">
        <v>2</v>
      </c>
      <c r="H39" s="129"/>
      <c r="I39" s="129" t="s">
        <v>38</v>
      </c>
      <c r="J39" s="129"/>
      <c r="K39" s="129"/>
      <c r="L39" s="130"/>
    </row>
  </sheetData>
  <sheetProtection algorithmName="SHA-512" hashValue="QiLuAdQwcyDv5oxOA16HHcH/MNV+AZYMFo0yrled/K6EpkL7NVDTduk8L7j9L1o+y18pQwStK0agGzwrsKHvPw==" saltValue="ZQylPeD6Sn+jNoI9uvCm4w==" spinCount="100000" sheet="1" formatCells="0" formatColumns="0" formatRows="0"/>
  <mergeCells count="80">
    <mergeCell ref="C10:E10"/>
    <mergeCell ref="A4:O4"/>
    <mergeCell ref="C6:E6"/>
    <mergeCell ref="C7:E7"/>
    <mergeCell ref="C8:E8"/>
    <mergeCell ref="C9:E9"/>
    <mergeCell ref="L6:N6"/>
    <mergeCell ref="L7:N7"/>
    <mergeCell ref="L8:N8"/>
    <mergeCell ref="L9:N9"/>
    <mergeCell ref="L10:N10"/>
    <mergeCell ref="C11:E11"/>
    <mergeCell ref="A14:C14"/>
    <mergeCell ref="I14:K14"/>
    <mergeCell ref="M14:N14"/>
    <mergeCell ref="A15:C15"/>
    <mergeCell ref="I15:K15"/>
    <mergeCell ref="M15:N15"/>
    <mergeCell ref="E14:G14"/>
    <mergeCell ref="L11:N11"/>
    <mergeCell ref="A16:C16"/>
    <mergeCell ref="I16:K16"/>
    <mergeCell ref="M16:N16"/>
    <mergeCell ref="A17:C17"/>
    <mergeCell ref="I17:K17"/>
    <mergeCell ref="M17:N17"/>
    <mergeCell ref="A18:C18"/>
    <mergeCell ref="I18:K18"/>
    <mergeCell ref="E20:G20"/>
    <mergeCell ref="M18:N18"/>
    <mergeCell ref="I19:K19"/>
    <mergeCell ref="M19:N19"/>
    <mergeCell ref="I20:J20"/>
    <mergeCell ref="A24:C24"/>
    <mergeCell ref="E24:F24"/>
    <mergeCell ref="I24:K24"/>
    <mergeCell ref="M24:N24"/>
    <mergeCell ref="A25:C25"/>
    <mergeCell ref="E25:F25"/>
    <mergeCell ref="I25:K25"/>
    <mergeCell ref="M25:N25"/>
    <mergeCell ref="A26:C26"/>
    <mergeCell ref="I26:K26"/>
    <mergeCell ref="M26:N26"/>
    <mergeCell ref="A27:C27"/>
    <mergeCell ref="I27:K27"/>
    <mergeCell ref="M27:N27"/>
    <mergeCell ref="E26:G26"/>
    <mergeCell ref="E27:G27"/>
    <mergeCell ref="A30:C30"/>
    <mergeCell ref="I30:K30"/>
    <mergeCell ref="M30:N30"/>
    <mergeCell ref="I31:K31"/>
    <mergeCell ref="M31:N31"/>
    <mergeCell ref="E30:G30"/>
    <mergeCell ref="E31:G31"/>
    <mergeCell ref="A28:C28"/>
    <mergeCell ref="I28:K28"/>
    <mergeCell ref="M28:N28"/>
    <mergeCell ref="A29:C29"/>
    <mergeCell ref="I29:K29"/>
    <mergeCell ref="M29:N29"/>
    <mergeCell ref="E28:G28"/>
    <mergeCell ref="E29:G29"/>
    <mergeCell ref="M32:N32"/>
    <mergeCell ref="E32:G32"/>
    <mergeCell ref="E33:G33"/>
    <mergeCell ref="E34:G34"/>
    <mergeCell ref="M37:N37"/>
    <mergeCell ref="E35:G35"/>
    <mergeCell ref="I32:K32"/>
    <mergeCell ref="I22:J22"/>
    <mergeCell ref="E21:G21"/>
    <mergeCell ref="E22:G22"/>
    <mergeCell ref="I21:J21"/>
    <mergeCell ref="E15:G15"/>
    <mergeCell ref="E16:G16"/>
    <mergeCell ref="E17:G17"/>
    <mergeCell ref="E18:G18"/>
    <mergeCell ref="E19:G19"/>
  </mergeCells>
  <printOptions horizontalCentered="1" verticalCentered="1"/>
  <pageMargins left="3.937007874015748E-2" right="3.937007874015748E-2" top="0.35433070866141736" bottom="0.35433070866141736" header="0.31496062992125984" footer="0.31496062992125984"/>
  <pageSetup paperSize="9" scale="36" orientation="landscape" r:id="rId1"/>
  <headerFooter>
    <oddHeader>&amp;C&amp;"Calibri"&amp;12&amp;K000000 CONFIDENTIAL&amp;1#_x000D_</oddHeader>
  </headerFooter>
  <drawing r:id="rId2"/>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00000000-0002-0000-0200-000000000000}">
          <x14:formula1>
            <xm:f>Condition!$F$14:$F$22</xm:f>
          </x14:formula1>
          <xm:sqref>D16:D18 H16:H22 L16:L19 O16:O19 D26:D30 H26:H35 L26:L32 O26:O32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4:Z36"/>
  <sheetViews>
    <sheetView showGridLines="0" view="pageBreakPreview" topLeftCell="A6" zoomScale="90" zoomScaleNormal="100" zoomScaleSheetLayoutView="90" workbookViewId="0">
      <selection activeCell="AD26" sqref="AD26"/>
    </sheetView>
  </sheetViews>
  <sheetFormatPr defaultRowHeight="14.5"/>
  <cols>
    <col min="1" max="2" width="9.26953125" customWidth="1"/>
    <col min="3" max="3" width="12.453125" customWidth="1"/>
    <col min="4" max="4" width="7.7265625" customWidth="1"/>
    <col min="5" max="5" width="7.7265625" style="1" hidden="1" customWidth="1"/>
    <col min="6" max="6" width="12.453125" customWidth="1"/>
    <col min="7" max="7" width="10.54296875" customWidth="1"/>
    <col min="9" max="9" width="7.54296875" customWidth="1"/>
    <col min="10" max="10" width="7.54296875" style="1" hidden="1" customWidth="1"/>
    <col min="13" max="13" width="2" customWidth="1"/>
    <col min="14" max="14" width="11.54296875" customWidth="1"/>
    <col min="15" max="15" width="9.26953125" customWidth="1"/>
    <col min="16" max="16" width="7.26953125" style="1" hidden="1" customWidth="1"/>
    <col min="17" max="17" width="1.26953125" customWidth="1"/>
    <col min="18" max="18" width="2" customWidth="1"/>
    <col min="19" max="19" width="8.7265625" customWidth="1"/>
    <col min="20" max="20" width="2" customWidth="1"/>
    <col min="21" max="21" width="8.7265625" customWidth="1"/>
    <col min="22" max="22" width="2" customWidth="1"/>
    <col min="23" max="23" width="8.7265625" customWidth="1"/>
    <col min="24" max="24" width="7" customWidth="1"/>
    <col min="25" max="25" width="7.26953125" style="1" hidden="1" customWidth="1"/>
    <col min="26" max="26" width="9.26953125" hidden="1" customWidth="1"/>
  </cols>
  <sheetData>
    <row r="4" spans="1:26">
      <c r="A4" s="337" t="s">
        <v>28</v>
      </c>
      <c r="B4" s="337"/>
      <c r="C4" s="337"/>
      <c r="D4" s="337"/>
      <c r="E4" s="337"/>
      <c r="F4" s="337"/>
      <c r="G4" s="337"/>
      <c r="H4" s="337"/>
      <c r="I4" s="337"/>
      <c r="J4" s="337"/>
      <c r="K4" s="337"/>
      <c r="L4" s="337"/>
      <c r="M4" s="337"/>
      <c r="N4" s="337"/>
      <c r="O4" s="337"/>
      <c r="P4" s="337"/>
      <c r="Q4" s="337"/>
      <c r="R4" s="337"/>
      <c r="S4" s="337"/>
      <c r="T4" s="337"/>
      <c r="U4" s="337"/>
      <c r="V4" s="337"/>
      <c r="W4" s="337"/>
      <c r="X4" s="337"/>
    </row>
    <row r="5" spans="1:26">
      <c r="Z5" s="80" t="s">
        <v>304</v>
      </c>
    </row>
    <row r="6" spans="1:26">
      <c r="A6" s="3" t="s">
        <v>254</v>
      </c>
      <c r="B6" s="94"/>
      <c r="C6" s="131" t="s">
        <v>315</v>
      </c>
      <c r="D6" s="131"/>
      <c r="E6" s="132"/>
      <c r="F6" s="131"/>
      <c r="G6" s="131"/>
      <c r="H6" s="133"/>
      <c r="I6" s="133"/>
      <c r="J6" s="132"/>
      <c r="K6" s="133"/>
      <c r="L6" s="4" t="s">
        <v>32</v>
      </c>
      <c r="M6" s="4"/>
      <c r="N6" s="4"/>
      <c r="Z6" s="80">
        <f ca="1">YEAR(TODAY())</f>
        <v>2025</v>
      </c>
    </row>
    <row r="7" spans="1:26">
      <c r="A7" s="4" t="s">
        <v>255</v>
      </c>
      <c r="B7" s="94"/>
      <c r="C7" s="131">
        <v>330</v>
      </c>
      <c r="D7" s="131"/>
      <c r="E7" s="132"/>
      <c r="F7" s="131"/>
      <c r="G7" s="131"/>
      <c r="H7" s="133"/>
      <c r="I7" s="133"/>
      <c r="J7" s="132"/>
      <c r="K7" s="133"/>
      <c r="L7" s="214">
        <v>2020</v>
      </c>
      <c r="M7" s="95" t="s">
        <v>31</v>
      </c>
      <c r="N7" s="133" t="s">
        <v>245</v>
      </c>
      <c r="O7" s="133"/>
      <c r="P7" s="132"/>
      <c r="Q7" s="133"/>
      <c r="R7" s="133"/>
      <c r="S7" s="133"/>
      <c r="T7" s="133"/>
      <c r="U7" s="133"/>
      <c r="V7" s="133"/>
      <c r="W7" s="133"/>
      <c r="X7" s="133"/>
      <c r="Z7" s="113" t="str">
        <f ca="1">Z5&amp;Z6</f>
        <v>31/12/2025</v>
      </c>
    </row>
    <row r="8" spans="1:26">
      <c r="A8" s="3" t="s">
        <v>297</v>
      </c>
      <c r="B8" s="94"/>
      <c r="C8" s="131" t="s">
        <v>317</v>
      </c>
      <c r="D8" s="131"/>
      <c r="E8" s="132"/>
      <c r="F8" s="131"/>
      <c r="G8" s="131"/>
      <c r="H8" s="133"/>
      <c r="I8" s="133"/>
      <c r="J8" s="132"/>
      <c r="K8" s="133"/>
      <c r="L8" s="214">
        <v>2019</v>
      </c>
      <c r="M8" s="95" t="s">
        <v>31</v>
      </c>
      <c r="N8" s="133" t="s">
        <v>245</v>
      </c>
      <c r="O8" s="133"/>
      <c r="P8" s="132"/>
      <c r="Q8" s="133"/>
      <c r="R8" s="133"/>
      <c r="S8" s="135"/>
      <c r="T8" s="133"/>
      <c r="U8" s="133"/>
      <c r="V8" s="133"/>
      <c r="W8" s="133"/>
      <c r="X8" s="133"/>
    </row>
    <row r="9" spans="1:26">
      <c r="A9" s="3" t="s">
        <v>299</v>
      </c>
      <c r="B9" s="94"/>
      <c r="C9" s="131" t="s">
        <v>311</v>
      </c>
      <c r="D9" s="131"/>
      <c r="E9" s="132"/>
      <c r="F9" s="131"/>
      <c r="G9" s="131"/>
      <c r="H9" s="133"/>
      <c r="I9" s="133"/>
      <c r="J9" s="132"/>
      <c r="K9" s="133"/>
      <c r="L9" s="214">
        <v>2018</v>
      </c>
      <c r="M9" s="95" t="s">
        <v>31</v>
      </c>
      <c r="N9" s="133" t="s">
        <v>158</v>
      </c>
      <c r="O9" s="133"/>
      <c r="P9" s="132"/>
      <c r="Q9" s="133"/>
      <c r="R9" s="133"/>
      <c r="S9" s="133"/>
      <c r="T9" s="133"/>
      <c r="U9" s="133"/>
      <c r="V9" s="133"/>
      <c r="W9" s="133"/>
      <c r="X9" s="133"/>
    </row>
    <row r="10" spans="1:26">
      <c r="A10" s="3" t="s">
        <v>298</v>
      </c>
      <c r="B10" s="94"/>
      <c r="C10" s="131" t="s">
        <v>316</v>
      </c>
      <c r="D10" s="131"/>
      <c r="E10" s="132"/>
      <c r="F10" s="131"/>
      <c r="G10" s="131"/>
      <c r="H10" s="133"/>
      <c r="I10" s="133"/>
      <c r="J10" s="132"/>
      <c r="K10" s="133"/>
      <c r="L10" s="3" t="s">
        <v>303</v>
      </c>
      <c r="M10" s="3" t="s">
        <v>31</v>
      </c>
      <c r="N10" s="134">
        <v>42044</v>
      </c>
      <c r="O10" s="133"/>
      <c r="P10" s="132"/>
      <c r="Q10" s="133"/>
      <c r="R10" s="133"/>
      <c r="S10" s="136"/>
      <c r="T10" s="133"/>
      <c r="U10" s="133"/>
      <c r="V10" s="133"/>
      <c r="W10" s="133"/>
      <c r="X10" s="133"/>
      <c r="Z10" s="112">
        <f ca="1">ROUNDDOWN(YEARFRAC(N10,Z7,1),0)</f>
        <v>10</v>
      </c>
    </row>
    <row r="11" spans="1:26">
      <c r="A11" s="4" t="s">
        <v>256</v>
      </c>
      <c r="B11" s="94"/>
      <c r="C11" s="131" t="s">
        <v>318</v>
      </c>
      <c r="D11" s="131"/>
      <c r="E11" s="132"/>
      <c r="F11" s="131"/>
      <c r="G11" s="131"/>
      <c r="H11" s="133"/>
      <c r="I11" s="133"/>
      <c r="J11" s="132"/>
      <c r="K11" s="133"/>
      <c r="L11" s="3" t="s">
        <v>163</v>
      </c>
      <c r="M11" s="3" t="s">
        <v>31</v>
      </c>
      <c r="N11" s="2">
        <f ca="1">ROUNDDOWN(YEARFRAC(C13,Z7,1),0)</f>
        <v>33</v>
      </c>
      <c r="O11" s="133"/>
      <c r="P11" s="132"/>
      <c r="Q11" s="133"/>
      <c r="R11" s="133"/>
      <c r="S11" s="133"/>
      <c r="T11" s="133"/>
      <c r="U11" s="133"/>
      <c r="V11" s="133"/>
      <c r="W11" s="133"/>
      <c r="X11" s="133"/>
      <c r="Z11">
        <f ca="1">DATEDIF(N10,Z7,"YM")</f>
        <v>10</v>
      </c>
    </row>
    <row r="12" spans="1:26">
      <c r="A12" s="4" t="s">
        <v>257</v>
      </c>
      <c r="B12" s="94"/>
      <c r="C12" s="131" t="s">
        <v>319</v>
      </c>
      <c r="D12" s="131" t="s">
        <v>314</v>
      </c>
      <c r="E12" s="132"/>
      <c r="F12" s="131"/>
      <c r="G12" s="131"/>
      <c r="H12" s="133"/>
      <c r="I12" s="133"/>
      <c r="J12" s="132"/>
      <c r="K12" s="133"/>
      <c r="L12" s="133"/>
      <c r="M12" s="133"/>
      <c r="N12" s="131"/>
      <c r="O12" s="133"/>
      <c r="P12" s="132"/>
      <c r="Q12" s="133"/>
      <c r="R12" s="133"/>
      <c r="S12" s="133"/>
      <c r="T12" s="133"/>
      <c r="U12" s="133"/>
      <c r="V12" s="133"/>
      <c r="W12" s="133"/>
      <c r="X12" s="133"/>
      <c r="Z12" t="str">
        <f ca="1">Z10&amp;","&amp;Z11</f>
        <v>10,10</v>
      </c>
    </row>
    <row r="13" spans="1:26">
      <c r="A13" s="4" t="s">
        <v>258</v>
      </c>
      <c r="B13" s="94"/>
      <c r="C13" s="134">
        <v>33814</v>
      </c>
      <c r="D13" s="133"/>
      <c r="E13" s="132"/>
      <c r="F13" s="133"/>
      <c r="G13" s="133"/>
      <c r="H13" s="133"/>
      <c r="I13" s="133"/>
      <c r="J13" s="132"/>
      <c r="K13" s="133"/>
      <c r="L13" s="133"/>
      <c r="M13" s="133"/>
      <c r="N13" s="133"/>
      <c r="O13" s="133"/>
      <c r="P13" s="132"/>
      <c r="Q13" s="133"/>
      <c r="R13" s="133"/>
      <c r="S13" s="133"/>
      <c r="T13" s="133"/>
      <c r="U13" s="133"/>
      <c r="V13" s="133"/>
      <c r="W13" s="133"/>
      <c r="X13" s="133"/>
    </row>
    <row r="14" spans="1:26" s="1" customFormat="1" ht="15" thickBot="1"/>
    <row r="15" spans="1:26" ht="15" thickBot="1">
      <c r="A15" s="338" t="s">
        <v>8</v>
      </c>
      <c r="B15" s="339"/>
      <c r="C15" s="340"/>
      <c r="D15" s="150">
        <v>3</v>
      </c>
      <c r="E15" s="173"/>
      <c r="F15" s="338" t="s">
        <v>11</v>
      </c>
      <c r="G15" s="339"/>
      <c r="H15" s="340"/>
      <c r="I15" s="150">
        <v>4</v>
      </c>
      <c r="J15" s="173"/>
      <c r="K15" s="338" t="s">
        <v>34</v>
      </c>
      <c r="L15" s="339"/>
      <c r="M15" s="339"/>
      <c r="N15" s="340"/>
      <c r="O15" s="151">
        <v>3</v>
      </c>
      <c r="P15" s="173"/>
      <c r="Q15" s="338" t="s">
        <v>15</v>
      </c>
      <c r="R15" s="339"/>
      <c r="S15" s="339"/>
      <c r="T15" s="339"/>
      <c r="U15" s="339"/>
      <c r="V15" s="339"/>
      <c r="W15" s="340"/>
      <c r="X15" s="150">
        <v>3</v>
      </c>
      <c r="Y15" s="173"/>
    </row>
    <row r="16" spans="1:26">
      <c r="A16" s="347" t="s">
        <v>33</v>
      </c>
      <c r="B16" s="348"/>
      <c r="C16" s="348"/>
      <c r="D16" s="349"/>
      <c r="E16" s="107"/>
      <c r="F16" s="347" t="s">
        <v>33</v>
      </c>
      <c r="G16" s="348"/>
      <c r="H16" s="348"/>
      <c r="I16" s="350"/>
      <c r="J16" s="107"/>
      <c r="K16" s="347" t="s">
        <v>33</v>
      </c>
      <c r="L16" s="348"/>
      <c r="M16" s="348"/>
      <c r="N16" s="348"/>
      <c r="O16" s="349"/>
      <c r="P16" s="107"/>
      <c r="Q16" s="347" t="s">
        <v>33</v>
      </c>
      <c r="R16" s="348"/>
      <c r="S16" s="348"/>
      <c r="T16" s="348"/>
      <c r="U16" s="348"/>
      <c r="V16" s="348"/>
      <c r="W16" s="348"/>
      <c r="X16" s="350"/>
      <c r="Y16" s="107"/>
    </row>
    <row r="17" spans="1:25" ht="15" customHeight="1">
      <c r="A17" s="341" t="s">
        <v>161</v>
      </c>
      <c r="B17" s="342"/>
      <c r="C17" s="342"/>
      <c r="D17" s="343"/>
      <c r="E17" s="171"/>
      <c r="F17" s="351" t="s">
        <v>162</v>
      </c>
      <c r="G17" s="352"/>
      <c r="H17" s="352"/>
      <c r="I17" s="353"/>
      <c r="J17" s="171"/>
      <c r="K17" s="341" t="s">
        <v>161</v>
      </c>
      <c r="L17" s="342"/>
      <c r="M17" s="342"/>
      <c r="N17" s="342"/>
      <c r="O17" s="343"/>
      <c r="P17" s="171"/>
      <c r="Q17" s="341" t="s">
        <v>162</v>
      </c>
      <c r="R17" s="342"/>
      <c r="S17" s="342"/>
      <c r="T17" s="342"/>
      <c r="U17" s="342"/>
      <c r="V17" s="342"/>
      <c r="W17" s="342"/>
      <c r="X17" s="343"/>
      <c r="Y17" s="108"/>
    </row>
    <row r="18" spans="1:25">
      <c r="A18" s="341"/>
      <c r="B18" s="342"/>
      <c r="C18" s="342"/>
      <c r="D18" s="343"/>
      <c r="E18" s="171"/>
      <c r="F18" s="341"/>
      <c r="G18" s="342"/>
      <c r="H18" s="342"/>
      <c r="I18" s="354"/>
      <c r="J18" s="171"/>
      <c r="K18" s="341"/>
      <c r="L18" s="342"/>
      <c r="M18" s="342"/>
      <c r="N18" s="342"/>
      <c r="O18" s="343"/>
      <c r="P18" s="171"/>
      <c r="Q18" s="341"/>
      <c r="R18" s="342"/>
      <c r="S18" s="342"/>
      <c r="T18" s="342"/>
      <c r="U18" s="342"/>
      <c r="V18" s="342"/>
      <c r="W18" s="342"/>
      <c r="X18" s="343"/>
      <c r="Y18" s="108"/>
    </row>
    <row r="19" spans="1:25">
      <c r="A19" s="341"/>
      <c r="B19" s="342"/>
      <c r="C19" s="342"/>
      <c r="D19" s="343"/>
      <c r="E19" s="171"/>
      <c r="F19" s="341"/>
      <c r="G19" s="342"/>
      <c r="H19" s="342"/>
      <c r="I19" s="354"/>
      <c r="J19" s="171"/>
      <c r="K19" s="341"/>
      <c r="L19" s="342"/>
      <c r="M19" s="342"/>
      <c r="N19" s="342"/>
      <c r="O19" s="343"/>
      <c r="P19" s="171"/>
      <c r="Q19" s="341"/>
      <c r="R19" s="342"/>
      <c r="S19" s="342"/>
      <c r="T19" s="342"/>
      <c r="U19" s="342"/>
      <c r="V19" s="342"/>
      <c r="W19" s="342"/>
      <c r="X19" s="343"/>
      <c r="Y19" s="108"/>
    </row>
    <row r="20" spans="1:25">
      <c r="A20" s="341"/>
      <c r="B20" s="342"/>
      <c r="C20" s="342"/>
      <c r="D20" s="343"/>
      <c r="E20" s="171"/>
      <c r="F20" s="341"/>
      <c r="G20" s="342"/>
      <c r="H20" s="342"/>
      <c r="I20" s="354"/>
      <c r="J20" s="171"/>
      <c r="K20" s="341"/>
      <c r="L20" s="342"/>
      <c r="M20" s="342"/>
      <c r="N20" s="342"/>
      <c r="O20" s="343"/>
      <c r="P20" s="171"/>
      <c r="Q20" s="341"/>
      <c r="R20" s="342"/>
      <c r="S20" s="342"/>
      <c r="T20" s="342"/>
      <c r="U20" s="342"/>
      <c r="V20" s="342"/>
      <c r="W20" s="342"/>
      <c r="X20" s="343"/>
      <c r="Y20" s="108"/>
    </row>
    <row r="21" spans="1:25">
      <c r="A21" s="341"/>
      <c r="B21" s="342"/>
      <c r="C21" s="342"/>
      <c r="D21" s="343"/>
      <c r="E21" s="171"/>
      <c r="F21" s="341"/>
      <c r="G21" s="342"/>
      <c r="H21" s="342"/>
      <c r="I21" s="354"/>
      <c r="J21" s="171"/>
      <c r="K21" s="341"/>
      <c r="L21" s="342"/>
      <c r="M21" s="342"/>
      <c r="N21" s="342"/>
      <c r="O21" s="343"/>
      <c r="P21" s="171"/>
      <c r="Q21" s="341"/>
      <c r="R21" s="342"/>
      <c r="S21" s="342"/>
      <c r="T21" s="342"/>
      <c r="U21" s="342"/>
      <c r="V21" s="342"/>
      <c r="W21" s="342"/>
      <c r="X21" s="343"/>
      <c r="Y21" s="108"/>
    </row>
    <row r="22" spans="1:25">
      <c r="A22" s="341"/>
      <c r="B22" s="342"/>
      <c r="C22" s="342"/>
      <c r="D22" s="343"/>
      <c r="E22" s="171"/>
      <c r="F22" s="341"/>
      <c r="G22" s="342"/>
      <c r="H22" s="342"/>
      <c r="I22" s="354"/>
      <c r="J22" s="171"/>
      <c r="K22" s="341"/>
      <c r="L22" s="342"/>
      <c r="M22" s="342"/>
      <c r="N22" s="342"/>
      <c r="O22" s="343"/>
      <c r="P22" s="171"/>
      <c r="Q22" s="341"/>
      <c r="R22" s="342"/>
      <c r="S22" s="342"/>
      <c r="T22" s="342"/>
      <c r="U22" s="342"/>
      <c r="V22" s="342"/>
      <c r="W22" s="342"/>
      <c r="X22" s="343"/>
      <c r="Y22" s="108"/>
    </row>
    <row r="23" spans="1:25" ht="15" thickBot="1">
      <c r="A23" s="344"/>
      <c r="B23" s="345"/>
      <c r="C23" s="345"/>
      <c r="D23" s="346"/>
      <c r="E23" s="172"/>
      <c r="F23" s="344"/>
      <c r="G23" s="345"/>
      <c r="H23" s="345"/>
      <c r="I23" s="355"/>
      <c r="J23" s="172"/>
      <c r="K23" s="344"/>
      <c r="L23" s="345"/>
      <c r="M23" s="345"/>
      <c r="N23" s="345"/>
      <c r="O23" s="346"/>
      <c r="P23" s="172"/>
      <c r="Q23" s="344"/>
      <c r="R23" s="345"/>
      <c r="S23" s="345"/>
      <c r="T23" s="345"/>
      <c r="U23" s="345"/>
      <c r="V23" s="345"/>
      <c r="W23" s="345"/>
      <c r="X23" s="346"/>
      <c r="Y23" s="109"/>
    </row>
    <row r="24" spans="1:25" ht="15" thickBot="1">
      <c r="A24" s="338" t="s">
        <v>17</v>
      </c>
      <c r="B24" s="339"/>
      <c r="C24" s="340"/>
      <c r="D24" s="150">
        <v>3</v>
      </c>
      <c r="E24" s="173"/>
      <c r="F24" s="338" t="s">
        <v>19</v>
      </c>
      <c r="G24" s="339"/>
      <c r="H24" s="340"/>
      <c r="I24" s="150">
        <v>3</v>
      </c>
      <c r="J24" s="173"/>
      <c r="K24" s="338" t="s">
        <v>21</v>
      </c>
      <c r="L24" s="339"/>
      <c r="M24" s="339"/>
      <c r="N24" s="340"/>
      <c r="O24" s="151">
        <v>3</v>
      </c>
      <c r="P24" s="173"/>
      <c r="Q24" s="338" t="s">
        <v>23</v>
      </c>
      <c r="R24" s="339"/>
      <c r="S24" s="339"/>
      <c r="T24" s="339"/>
      <c r="U24" s="339"/>
      <c r="V24" s="339"/>
      <c r="W24" s="340"/>
      <c r="X24" s="150">
        <v>2.5</v>
      </c>
      <c r="Y24" s="173"/>
    </row>
    <row r="25" spans="1:25">
      <c r="A25" s="347" t="s">
        <v>33</v>
      </c>
      <c r="B25" s="348"/>
      <c r="C25" s="348"/>
      <c r="D25" s="349"/>
      <c r="E25" s="107"/>
      <c r="F25" s="347" t="s">
        <v>33</v>
      </c>
      <c r="G25" s="348"/>
      <c r="H25" s="348"/>
      <c r="I25" s="350"/>
      <c r="J25" s="107"/>
      <c r="K25" s="347" t="s">
        <v>33</v>
      </c>
      <c r="L25" s="348"/>
      <c r="M25" s="348"/>
      <c r="N25" s="348"/>
      <c r="O25" s="349"/>
      <c r="P25" s="107"/>
      <c r="Q25" s="347" t="s">
        <v>33</v>
      </c>
      <c r="R25" s="348"/>
      <c r="S25" s="348"/>
      <c r="T25" s="348"/>
      <c r="U25" s="348"/>
      <c r="V25" s="348"/>
      <c r="W25" s="348"/>
      <c r="X25" s="350"/>
      <c r="Y25" s="107"/>
    </row>
    <row r="26" spans="1:25" ht="15" customHeight="1">
      <c r="A26" s="341" t="s">
        <v>162</v>
      </c>
      <c r="B26" s="342"/>
      <c r="C26" s="342"/>
      <c r="D26" s="343"/>
      <c r="E26" s="171"/>
      <c r="F26" s="351" t="s">
        <v>161</v>
      </c>
      <c r="G26" s="352"/>
      <c r="H26" s="352"/>
      <c r="I26" s="353"/>
      <c r="J26" s="171"/>
      <c r="K26" s="341" t="s">
        <v>162</v>
      </c>
      <c r="L26" s="342"/>
      <c r="M26" s="342"/>
      <c r="N26" s="342"/>
      <c r="O26" s="343"/>
      <c r="P26" s="171"/>
      <c r="Q26" s="341" t="s">
        <v>161</v>
      </c>
      <c r="R26" s="342"/>
      <c r="S26" s="342"/>
      <c r="T26" s="342"/>
      <c r="U26" s="342"/>
      <c r="V26" s="342"/>
      <c r="W26" s="342"/>
      <c r="X26" s="343"/>
      <c r="Y26" s="108"/>
    </row>
    <row r="27" spans="1:25">
      <c r="A27" s="341"/>
      <c r="B27" s="342"/>
      <c r="C27" s="342"/>
      <c r="D27" s="343"/>
      <c r="E27" s="171"/>
      <c r="F27" s="341"/>
      <c r="G27" s="342"/>
      <c r="H27" s="342"/>
      <c r="I27" s="354"/>
      <c r="J27" s="171"/>
      <c r="K27" s="341"/>
      <c r="L27" s="342"/>
      <c r="M27" s="342"/>
      <c r="N27" s="342"/>
      <c r="O27" s="343"/>
      <c r="P27" s="171"/>
      <c r="Q27" s="341"/>
      <c r="R27" s="342"/>
      <c r="S27" s="342"/>
      <c r="T27" s="342"/>
      <c r="U27" s="342"/>
      <c r="V27" s="342"/>
      <c r="W27" s="342"/>
      <c r="X27" s="343"/>
      <c r="Y27" s="108"/>
    </row>
    <row r="28" spans="1:25">
      <c r="A28" s="341"/>
      <c r="B28" s="342"/>
      <c r="C28" s="342"/>
      <c r="D28" s="343"/>
      <c r="E28" s="171"/>
      <c r="F28" s="341"/>
      <c r="G28" s="342"/>
      <c r="H28" s="342"/>
      <c r="I28" s="354"/>
      <c r="J28" s="171"/>
      <c r="K28" s="341"/>
      <c r="L28" s="342"/>
      <c r="M28" s="342"/>
      <c r="N28" s="342"/>
      <c r="O28" s="343"/>
      <c r="P28" s="171"/>
      <c r="Q28" s="341"/>
      <c r="R28" s="342"/>
      <c r="S28" s="342"/>
      <c r="T28" s="342"/>
      <c r="U28" s="342"/>
      <c r="V28" s="342"/>
      <c r="W28" s="342"/>
      <c r="X28" s="343"/>
      <c r="Y28" s="108"/>
    </row>
    <row r="29" spans="1:25">
      <c r="A29" s="341"/>
      <c r="B29" s="342"/>
      <c r="C29" s="342"/>
      <c r="D29" s="343"/>
      <c r="E29" s="171"/>
      <c r="F29" s="341"/>
      <c r="G29" s="342"/>
      <c r="H29" s="342"/>
      <c r="I29" s="354"/>
      <c r="J29" s="171"/>
      <c r="K29" s="341"/>
      <c r="L29" s="342"/>
      <c r="M29" s="342"/>
      <c r="N29" s="342"/>
      <c r="O29" s="343"/>
      <c r="P29" s="171"/>
      <c r="Q29" s="341"/>
      <c r="R29" s="342"/>
      <c r="S29" s="342"/>
      <c r="T29" s="342"/>
      <c r="U29" s="342"/>
      <c r="V29" s="342"/>
      <c r="W29" s="342"/>
      <c r="X29" s="343"/>
      <c r="Y29" s="108"/>
    </row>
    <row r="30" spans="1:25">
      <c r="A30" s="341"/>
      <c r="B30" s="342"/>
      <c r="C30" s="342"/>
      <c r="D30" s="343"/>
      <c r="E30" s="171"/>
      <c r="F30" s="341"/>
      <c r="G30" s="342"/>
      <c r="H30" s="342"/>
      <c r="I30" s="354"/>
      <c r="J30" s="171"/>
      <c r="K30" s="341"/>
      <c r="L30" s="342"/>
      <c r="M30" s="342"/>
      <c r="N30" s="342"/>
      <c r="O30" s="343"/>
      <c r="P30" s="171"/>
      <c r="Q30" s="341"/>
      <c r="R30" s="342"/>
      <c r="S30" s="342"/>
      <c r="T30" s="342"/>
      <c r="U30" s="342"/>
      <c r="V30" s="342"/>
      <c r="W30" s="342"/>
      <c r="X30" s="343"/>
      <c r="Y30" s="108"/>
    </row>
    <row r="31" spans="1:25">
      <c r="A31" s="341"/>
      <c r="B31" s="342"/>
      <c r="C31" s="342"/>
      <c r="D31" s="343"/>
      <c r="E31" s="171"/>
      <c r="F31" s="341"/>
      <c r="G31" s="342"/>
      <c r="H31" s="342"/>
      <c r="I31" s="354"/>
      <c r="J31" s="171"/>
      <c r="K31" s="341"/>
      <c r="L31" s="342"/>
      <c r="M31" s="342"/>
      <c r="N31" s="342"/>
      <c r="O31" s="343"/>
      <c r="P31" s="171"/>
      <c r="Q31" s="341"/>
      <c r="R31" s="342"/>
      <c r="S31" s="342"/>
      <c r="T31" s="342"/>
      <c r="U31" s="342"/>
      <c r="V31" s="342"/>
      <c r="W31" s="342"/>
      <c r="X31" s="343"/>
      <c r="Y31" s="108"/>
    </row>
    <row r="32" spans="1:25" ht="27.75" customHeight="1" thickBot="1">
      <c r="A32" s="344"/>
      <c r="B32" s="345"/>
      <c r="C32" s="345"/>
      <c r="D32" s="346"/>
      <c r="E32" s="172"/>
      <c r="F32" s="344"/>
      <c r="G32" s="345"/>
      <c r="H32" s="345"/>
      <c r="I32" s="355"/>
      <c r="J32" s="172"/>
      <c r="K32" s="344"/>
      <c r="L32" s="345"/>
      <c r="M32" s="345"/>
      <c r="N32" s="345"/>
      <c r="O32" s="346"/>
      <c r="P32" s="172"/>
      <c r="Q32" s="344"/>
      <c r="R32" s="345"/>
      <c r="S32" s="345"/>
      <c r="T32" s="345"/>
      <c r="U32" s="345"/>
      <c r="V32" s="345"/>
      <c r="W32" s="345"/>
      <c r="X32" s="346"/>
      <c r="Y32" s="109"/>
    </row>
    <row r="33" spans="1:23">
      <c r="F33" s="1"/>
      <c r="G33" s="1"/>
      <c r="H33" s="1"/>
      <c r="I33" s="1"/>
    </row>
    <row r="34" spans="1:23">
      <c r="A34" s="157" t="s">
        <v>36</v>
      </c>
      <c r="B34" s="158"/>
      <c r="C34" s="159" t="s">
        <v>31</v>
      </c>
      <c r="D34" s="159"/>
      <c r="E34" s="160"/>
      <c r="F34" s="159"/>
      <c r="G34" s="159"/>
      <c r="H34" s="161"/>
      <c r="I34" s="162"/>
      <c r="N34" s="137" t="s">
        <v>262</v>
      </c>
      <c r="O34" s="138"/>
      <c r="P34" s="139"/>
      <c r="Q34" s="140" t="s">
        <v>31</v>
      </c>
      <c r="R34" s="140" t="s">
        <v>274</v>
      </c>
      <c r="S34" s="152"/>
      <c r="T34" s="140" t="s">
        <v>2</v>
      </c>
      <c r="U34" s="152"/>
      <c r="V34" s="140" t="s">
        <v>3</v>
      </c>
      <c r="W34" s="156"/>
    </row>
    <row r="35" spans="1:23">
      <c r="A35" s="163" t="s">
        <v>37</v>
      </c>
      <c r="B35" s="164"/>
      <c r="C35" s="119" t="s">
        <v>31</v>
      </c>
      <c r="D35" s="119" t="s">
        <v>0</v>
      </c>
      <c r="E35" s="165"/>
      <c r="F35" s="119"/>
      <c r="G35" s="119" t="s">
        <v>3</v>
      </c>
      <c r="H35" s="133"/>
      <c r="I35" s="166"/>
      <c r="N35" s="141" t="s">
        <v>263</v>
      </c>
      <c r="O35" s="142"/>
      <c r="P35" s="143"/>
      <c r="Q35" s="142" t="s">
        <v>31</v>
      </c>
      <c r="R35" s="144" t="s">
        <v>274</v>
      </c>
      <c r="S35" s="153"/>
      <c r="T35" s="144" t="s">
        <v>2</v>
      </c>
      <c r="U35" s="153"/>
      <c r="V35" s="142"/>
      <c r="W35" s="145"/>
    </row>
    <row r="36" spans="1:23">
      <c r="A36" s="167"/>
      <c r="B36" s="168"/>
      <c r="C36" s="129"/>
      <c r="D36" s="129" t="s">
        <v>1</v>
      </c>
      <c r="E36" s="169"/>
      <c r="F36" s="129"/>
      <c r="G36" s="129" t="s">
        <v>38</v>
      </c>
      <c r="H36" s="168"/>
      <c r="I36" s="170"/>
      <c r="N36" s="146" t="s">
        <v>265</v>
      </c>
      <c r="O36" s="147"/>
      <c r="P36" s="148"/>
      <c r="Q36" s="147" t="s">
        <v>31</v>
      </c>
      <c r="R36" s="149" t="s">
        <v>274</v>
      </c>
      <c r="S36" s="154"/>
      <c r="T36" s="149" t="s">
        <v>2</v>
      </c>
      <c r="U36" s="154"/>
      <c r="V36" s="149" t="s">
        <v>3</v>
      </c>
      <c r="W36" s="155"/>
    </row>
  </sheetData>
  <sheetProtection algorithmName="SHA-512" hashValue="SAKHbwOa8bF8hO66+OgG0Q5ZSq56c9rTwp8xDi8N+ZTs9mmEHs5+asX4ctbmvETQvwZpWMl7FQIYWk4TXZVJBw==" saltValue="nSt08iJdGa1YONTw1yFtVg==" spinCount="100000" sheet="1" objects="1" scenarios="1" formatCells="0" formatColumns="0" formatRows="0"/>
  <mergeCells count="25">
    <mergeCell ref="Q25:X25"/>
    <mergeCell ref="A24:C24"/>
    <mergeCell ref="A25:D25"/>
    <mergeCell ref="A26:D32"/>
    <mergeCell ref="K24:N24"/>
    <mergeCell ref="K25:O25"/>
    <mergeCell ref="K26:O32"/>
    <mergeCell ref="F24:H24"/>
    <mergeCell ref="F25:I25"/>
    <mergeCell ref="F26:I32"/>
    <mergeCell ref="Q26:X32"/>
    <mergeCell ref="Q24:W24"/>
    <mergeCell ref="A4:X4"/>
    <mergeCell ref="A15:C15"/>
    <mergeCell ref="A17:D23"/>
    <mergeCell ref="A16:D16"/>
    <mergeCell ref="F15:H15"/>
    <mergeCell ref="F16:I16"/>
    <mergeCell ref="F17:I23"/>
    <mergeCell ref="K17:O23"/>
    <mergeCell ref="K15:N15"/>
    <mergeCell ref="K16:O16"/>
    <mergeCell ref="Q16:X16"/>
    <mergeCell ref="Q17:X23"/>
    <mergeCell ref="Q15:W15"/>
  </mergeCells>
  <dataValidations count="1">
    <dataValidation type="list" allowBlank="1" showInputMessage="1" showErrorMessage="1" sqref="S34:S35 U34:U35 W34" xr:uid="{00000000-0002-0000-0300-000000000000}">
      <formula1>"VBS,CF,IS,AJ,PDA,LM,TW,DC"</formula1>
    </dataValidation>
  </dataValidations>
  <printOptions horizontalCentered="1" verticalCentered="1"/>
  <pageMargins left="3.937007874015748E-2" right="3.937007874015748E-2" top="0.35433070866141736" bottom="0.35433070866141736" header="0.31496062992125984" footer="0.31496062992125984"/>
  <pageSetup paperSize="9" scale="88" orientation="landscape" r:id="rId1"/>
  <headerFooter>
    <oddHeader>&amp;C&amp;"Calibri"&amp;12&amp;K000000 CONFIDENTIAL&amp;1#_x000D_</oddHeader>
  </headerFooter>
  <ignoredErrors>
    <ignoredError sqref="N11" unlockedFormula="1"/>
  </ignoredErrors>
  <drawing r:id="rId2"/>
  <extLst>
    <ext xmlns:x14="http://schemas.microsoft.com/office/spreadsheetml/2009/9/main" uri="{CCE6A557-97BC-4b89-ADB6-D9C93CAAB3DF}">
      <x14:dataValidations xmlns:xm="http://schemas.microsoft.com/office/excel/2006/main" count="2">
        <x14:dataValidation type="list" errorStyle="information" showInputMessage="1" showErrorMessage="1" xr:uid="{00000000-0002-0000-0300-000001000000}">
          <x14:formula1>
            <xm:f>Condition!$F$14:$F$22</xm:f>
          </x14:formula1>
          <xm:sqref>O15 D24 D15 O24 I24 X15 I15 X24</xm:sqref>
        </x14:dataValidation>
        <x14:dataValidation type="list" showInputMessage="1" showErrorMessage="1" xr:uid="{00000000-0002-0000-0300-000002000000}">
          <x14:formula1>
            <xm:f>Condition!$B$20:$B$27</xm:f>
          </x14:formula1>
          <xm:sqref>N7:N9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4:G21"/>
  <sheetViews>
    <sheetView showGridLines="0" view="pageBreakPreview" zoomScale="70" zoomScaleNormal="70" zoomScaleSheetLayoutView="70" workbookViewId="0">
      <selection activeCell="C6" sqref="C6:D10"/>
    </sheetView>
  </sheetViews>
  <sheetFormatPr defaultRowHeight="14.5"/>
  <cols>
    <col min="1" max="1" width="4" customWidth="1"/>
    <col min="2" max="2" width="9.26953125" customWidth="1"/>
    <col min="3" max="6" width="30.7265625" customWidth="1"/>
  </cols>
  <sheetData>
    <row r="4" spans="1:7">
      <c r="A4" s="337" t="s">
        <v>102</v>
      </c>
      <c r="B4" s="337"/>
      <c r="C4" s="337"/>
      <c r="D4" s="337"/>
      <c r="E4" s="337"/>
      <c r="F4" s="337"/>
      <c r="G4" s="337"/>
    </row>
    <row r="6" spans="1:7">
      <c r="C6" s="4" t="s">
        <v>90</v>
      </c>
      <c r="D6" s="4" t="s">
        <v>31</v>
      </c>
      <c r="E6" s="356"/>
      <c r="F6" s="356"/>
      <c r="G6" s="356"/>
    </row>
    <row r="7" spans="1:7">
      <c r="C7" s="4" t="s">
        <v>91</v>
      </c>
      <c r="D7" s="4" t="s">
        <v>31</v>
      </c>
      <c r="E7" s="356"/>
      <c r="F7" s="356"/>
      <c r="G7" s="356"/>
    </row>
    <row r="8" spans="1:7">
      <c r="C8" s="4" t="s">
        <v>92</v>
      </c>
      <c r="D8" s="4" t="s">
        <v>31</v>
      </c>
      <c r="E8" s="356"/>
      <c r="F8" s="356"/>
      <c r="G8" s="356"/>
    </row>
    <row r="9" spans="1:7">
      <c r="C9" s="4" t="s">
        <v>35</v>
      </c>
      <c r="D9" s="4" t="s">
        <v>31</v>
      </c>
      <c r="E9" s="2"/>
      <c r="F9" s="2"/>
      <c r="G9" s="2"/>
    </row>
    <row r="10" spans="1:7">
      <c r="C10" s="4"/>
      <c r="D10" s="4"/>
      <c r="E10" s="2"/>
      <c r="F10" s="2"/>
      <c r="G10" s="2"/>
    </row>
    <row r="11" spans="1:7">
      <c r="C11" s="4"/>
      <c r="D11" s="4"/>
      <c r="E11" s="2"/>
      <c r="F11" s="2"/>
      <c r="G11" s="2"/>
    </row>
    <row r="12" spans="1:7">
      <c r="C12" s="39" t="s">
        <v>115</v>
      </c>
      <c r="D12" s="35" t="s">
        <v>109</v>
      </c>
      <c r="E12" s="31" t="s">
        <v>105</v>
      </c>
      <c r="F12" s="33" t="s">
        <v>104</v>
      </c>
      <c r="G12" s="3"/>
    </row>
    <row r="13" spans="1:7" ht="130.15" customHeight="1">
      <c r="C13" s="39"/>
      <c r="D13" s="35"/>
      <c r="E13" s="29"/>
      <c r="F13" s="50" t="s">
        <v>165</v>
      </c>
      <c r="G13" s="3"/>
    </row>
    <row r="14" spans="1:7">
      <c r="C14" s="39" t="s">
        <v>116</v>
      </c>
      <c r="D14" s="35" t="s">
        <v>110</v>
      </c>
      <c r="E14" s="31" t="s">
        <v>106</v>
      </c>
      <c r="F14" s="32" t="s">
        <v>103</v>
      </c>
      <c r="G14" s="3"/>
    </row>
    <row r="15" spans="1:7" ht="130.15" customHeight="1">
      <c r="C15" s="39"/>
      <c r="D15" s="35"/>
      <c r="E15" s="29"/>
      <c r="F15" s="30"/>
      <c r="G15" s="3"/>
    </row>
    <row r="16" spans="1:7">
      <c r="C16" s="39" t="s">
        <v>117</v>
      </c>
      <c r="D16" s="35" t="s">
        <v>111</v>
      </c>
      <c r="E16" s="35" t="s">
        <v>108</v>
      </c>
      <c r="F16" s="37" t="s">
        <v>107</v>
      </c>
      <c r="G16" s="2"/>
    </row>
    <row r="17" spans="3:7" ht="130.15" customHeight="1">
      <c r="C17" s="39"/>
      <c r="D17" s="35"/>
      <c r="E17" s="34"/>
      <c r="F17" s="36"/>
      <c r="G17" s="2"/>
    </row>
    <row r="18" spans="3:7">
      <c r="C18" s="39" t="s">
        <v>118</v>
      </c>
      <c r="D18" s="39" t="s">
        <v>114</v>
      </c>
      <c r="E18" s="39" t="s">
        <v>113</v>
      </c>
      <c r="F18" s="41" t="s">
        <v>112</v>
      </c>
      <c r="G18" s="2"/>
    </row>
    <row r="19" spans="3:7" ht="130.15" customHeight="1">
      <c r="C19" s="39"/>
      <c r="D19" s="38"/>
      <c r="E19" s="38"/>
      <c r="F19" s="40"/>
      <c r="G19" s="2"/>
    </row>
    <row r="20" spans="3:7">
      <c r="C20" s="4"/>
      <c r="D20" s="4"/>
      <c r="E20" s="2"/>
      <c r="F20" s="2"/>
      <c r="G20" s="2"/>
    </row>
    <row r="21" spans="3:7">
      <c r="C21" s="4"/>
      <c r="D21" s="4"/>
      <c r="E21" s="2"/>
      <c r="F21" s="2"/>
      <c r="G21" s="2"/>
    </row>
  </sheetData>
  <mergeCells count="4">
    <mergeCell ref="A4:G4"/>
    <mergeCell ref="E6:G6"/>
    <mergeCell ref="E7:G7"/>
    <mergeCell ref="E8:G8"/>
  </mergeCells>
  <printOptions horizontalCentered="1" verticalCentered="1"/>
  <pageMargins left="3.937007874015748E-2" right="3.937007874015748E-2" top="0.35433070866141736" bottom="0.35433070866141736" header="0.31496062992125984" footer="0.31496062992125984"/>
  <pageSetup paperSize="9" scale="55" orientation="landscape" r:id="rId1"/>
  <headerFooter>
    <oddHeader>&amp;C&amp;"Calibri"&amp;12&amp;K000000 CONFIDENTIAL&amp;1#_x000D_</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AU77"/>
  <sheetViews>
    <sheetView showGridLines="0" tabSelected="1" view="pageBreakPreview" topLeftCell="C1" zoomScale="70" zoomScaleNormal="70" zoomScaleSheetLayoutView="70" workbookViewId="0">
      <selection activeCell="M23" sqref="M23"/>
    </sheetView>
  </sheetViews>
  <sheetFormatPr defaultColWidth="9.26953125" defaultRowHeight="14.5"/>
  <cols>
    <col min="1" max="1" width="4" style="1" customWidth="1"/>
    <col min="2" max="2" width="9.26953125" style="2" customWidth="1"/>
    <col min="3" max="3" width="22.54296875" style="2" customWidth="1"/>
    <col min="4" max="5" width="22.26953125" style="2" customWidth="1"/>
    <col min="6" max="6" width="16.7265625" style="2" customWidth="1"/>
    <col min="7" max="7" width="9.54296875" style="279" customWidth="1"/>
    <col min="8" max="9" width="8.7265625" style="279" customWidth="1"/>
    <col min="10" max="10" width="8.453125" style="279" customWidth="1"/>
    <col min="11" max="12" width="9.26953125" style="279"/>
    <col min="13" max="13" width="9.26953125" style="279" customWidth="1"/>
    <col min="14" max="14" width="9.26953125" style="279"/>
    <col min="15" max="15" width="9.7265625" style="279" customWidth="1"/>
    <col min="16" max="16" width="10.453125" style="279" customWidth="1"/>
    <col min="17" max="17" width="8" style="279" customWidth="1"/>
    <col min="18" max="18" width="6.7265625" style="279" hidden="1" customWidth="1"/>
    <col min="19" max="19" width="7.453125" style="279" hidden="1" customWidth="1"/>
    <col min="20" max="20" width="9" style="279" customWidth="1"/>
    <col min="21" max="23" width="6.453125" style="279" customWidth="1"/>
    <col min="24" max="26" width="6" style="279" hidden="1" customWidth="1"/>
    <col min="27" max="29" width="9.26953125" style="279" customWidth="1"/>
    <col min="30" max="31" width="9.26953125" style="279"/>
    <col min="32" max="36" width="9.26953125" style="280"/>
    <col min="37" max="39" width="10" style="280" customWidth="1"/>
    <col min="40" max="47" width="25.7265625" style="299" customWidth="1"/>
    <col min="48" max="16384" width="9.26953125" style="2"/>
  </cols>
  <sheetData>
    <row r="1" spans="1:47" customFormat="1">
      <c r="A1" s="1"/>
      <c r="C1" s="1"/>
      <c r="D1" s="1"/>
      <c r="E1" s="1"/>
      <c r="F1" s="1"/>
      <c r="G1" s="1"/>
    </row>
    <row r="2" spans="1:47" customFormat="1">
      <c r="A2" s="1"/>
      <c r="C2" s="1"/>
      <c r="D2" s="1"/>
      <c r="E2" s="1"/>
      <c r="F2" s="1"/>
      <c r="G2" s="1"/>
    </row>
    <row r="3" spans="1:47" customFormat="1">
      <c r="A3" s="1"/>
      <c r="C3" s="1"/>
      <c r="D3" s="1"/>
      <c r="E3" s="1"/>
      <c r="F3" s="1"/>
      <c r="G3" s="1"/>
    </row>
    <row r="4" spans="1:47" customFormat="1">
      <c r="A4" s="337" t="s">
        <v>89</v>
      </c>
      <c r="B4" s="337"/>
      <c r="C4" s="337"/>
      <c r="D4" s="337"/>
      <c r="E4" s="337"/>
      <c r="F4" s="337"/>
      <c r="G4" s="337"/>
      <c r="H4" s="337"/>
      <c r="I4" s="337"/>
      <c r="J4" s="337"/>
      <c r="K4" s="337"/>
      <c r="L4" s="337"/>
      <c r="M4" s="337"/>
      <c r="N4" s="337"/>
      <c r="O4" s="337"/>
      <c r="P4" s="337"/>
      <c r="Q4" s="337"/>
      <c r="R4" s="337"/>
      <c r="S4" s="337"/>
      <c r="T4" s="337"/>
      <c r="U4" s="337"/>
      <c r="V4" s="337"/>
      <c r="W4" s="337"/>
      <c r="X4" s="337"/>
      <c r="Y4" s="337"/>
      <c r="Z4" s="337"/>
      <c r="AA4" s="337"/>
      <c r="AB4" s="337"/>
      <c r="AC4" s="337"/>
      <c r="AD4" s="337"/>
      <c r="AE4" s="337"/>
      <c r="AF4" s="110"/>
      <c r="AG4" s="110"/>
      <c r="AH4" s="110"/>
      <c r="AI4" s="110"/>
    </row>
    <row r="5" spans="1:47" customFormat="1">
      <c r="A5" s="1"/>
      <c r="C5" s="1"/>
      <c r="D5" s="1"/>
      <c r="E5" s="1"/>
      <c r="F5" s="1"/>
      <c r="G5" s="1"/>
    </row>
    <row r="6" spans="1:47" customFormat="1">
      <c r="A6" s="1"/>
      <c r="C6" s="363"/>
      <c r="D6" s="363"/>
      <c r="E6" s="363"/>
      <c r="F6" s="363"/>
      <c r="G6" s="363"/>
      <c r="H6" s="363"/>
      <c r="I6" s="3"/>
      <c r="J6" s="363" t="s">
        <v>90</v>
      </c>
      <c r="K6" s="363"/>
      <c r="L6" s="131" t="s">
        <v>31</v>
      </c>
      <c r="M6" s="131"/>
      <c r="N6" s="131"/>
      <c r="O6" s="131"/>
      <c r="P6" s="164"/>
      <c r="Q6" s="133"/>
      <c r="R6" s="133"/>
      <c r="S6" s="133"/>
      <c r="T6" s="133"/>
      <c r="U6" s="133"/>
      <c r="V6" s="133"/>
      <c r="W6" s="133"/>
      <c r="X6" s="133"/>
      <c r="Y6" s="133"/>
      <c r="Z6" s="133"/>
      <c r="AA6" s="133"/>
      <c r="AB6" s="133"/>
      <c r="AC6" s="133"/>
      <c r="AD6" s="133"/>
      <c r="AE6" s="133"/>
      <c r="AF6" s="133"/>
      <c r="AG6" s="133"/>
      <c r="AH6" s="133"/>
      <c r="AI6" s="133"/>
      <c r="AJ6" s="133"/>
      <c r="AK6" s="133"/>
    </row>
    <row r="7" spans="1:47" customFormat="1">
      <c r="A7" s="1"/>
      <c r="C7" s="363"/>
      <c r="D7" s="363"/>
      <c r="E7" s="363"/>
      <c r="F7" s="363"/>
      <c r="G7" s="363"/>
      <c r="H7" s="363"/>
      <c r="I7" s="3"/>
      <c r="J7" s="363" t="s">
        <v>91</v>
      </c>
      <c r="K7" s="363"/>
      <c r="L7" s="131" t="s">
        <v>31</v>
      </c>
      <c r="M7" s="131"/>
      <c r="N7" s="131"/>
      <c r="O7" s="131"/>
      <c r="P7" s="133"/>
      <c r="Q7" s="133"/>
      <c r="R7" s="133"/>
      <c r="S7" s="133"/>
      <c r="T7" s="133"/>
      <c r="U7" s="133"/>
      <c r="V7" s="133"/>
      <c r="W7" s="133"/>
      <c r="X7" s="133"/>
      <c r="Y7" s="133"/>
      <c r="Z7" s="133"/>
      <c r="AA7" s="133"/>
      <c r="AB7" s="133"/>
      <c r="AC7" s="133"/>
      <c r="AD7" s="133"/>
      <c r="AE7" s="133"/>
      <c r="AF7" s="133"/>
      <c r="AG7" s="133"/>
      <c r="AH7" s="133"/>
      <c r="AI7" s="133"/>
      <c r="AJ7" s="133"/>
      <c r="AK7" s="133"/>
    </row>
    <row r="8" spans="1:47" customFormat="1">
      <c r="A8" s="1"/>
      <c r="C8" s="5"/>
      <c r="D8" s="5"/>
      <c r="E8" s="5"/>
      <c r="F8" s="5"/>
      <c r="G8" s="5"/>
      <c r="H8" s="4"/>
      <c r="I8" s="4"/>
      <c r="J8" s="4" t="s">
        <v>92</v>
      </c>
      <c r="K8" s="4"/>
      <c r="L8" s="131" t="s">
        <v>31</v>
      </c>
      <c r="M8" s="131"/>
      <c r="N8" s="131"/>
      <c r="O8" s="131"/>
      <c r="P8" s="133"/>
      <c r="Q8" s="133"/>
      <c r="R8" s="133"/>
      <c r="S8" s="133"/>
      <c r="T8" s="133"/>
      <c r="U8" s="133"/>
      <c r="V8" s="133"/>
      <c r="W8" s="133"/>
      <c r="X8" s="133"/>
      <c r="Y8" s="133"/>
      <c r="Z8" s="133"/>
      <c r="AA8" s="133"/>
      <c r="AB8" s="133"/>
      <c r="AC8" s="133"/>
      <c r="AD8" s="133"/>
      <c r="AE8" s="133"/>
      <c r="AF8" s="133"/>
      <c r="AG8" s="133"/>
      <c r="AH8" s="133"/>
      <c r="AI8" s="133"/>
      <c r="AJ8" s="133"/>
      <c r="AK8" s="133"/>
    </row>
    <row r="9" spans="1:47" s="1" customFormat="1" ht="15" thickBot="1"/>
    <row r="10" spans="1:47" customFormat="1" ht="15" customHeight="1" thickBot="1">
      <c r="A10" s="357" t="s">
        <v>5</v>
      </c>
      <c r="B10" s="357" t="s">
        <v>27</v>
      </c>
      <c r="C10" s="357" t="s">
        <v>93</v>
      </c>
      <c r="D10" s="360" t="s">
        <v>164</v>
      </c>
      <c r="E10" s="360" t="s">
        <v>259</v>
      </c>
      <c r="F10" s="360" t="s">
        <v>260</v>
      </c>
      <c r="G10" s="360" t="s">
        <v>163</v>
      </c>
      <c r="H10" s="357" t="s">
        <v>30</v>
      </c>
      <c r="I10" s="384" t="s">
        <v>305</v>
      </c>
      <c r="J10" s="381" t="s">
        <v>98</v>
      </c>
      <c r="K10" s="382"/>
      <c r="L10" s="382"/>
      <c r="M10" s="382"/>
      <c r="N10" s="382"/>
      <c r="O10" s="382"/>
      <c r="P10" s="382"/>
      <c r="Q10" s="383"/>
      <c r="R10" s="364" t="s">
        <v>94</v>
      </c>
      <c r="S10" s="364" t="s">
        <v>95</v>
      </c>
      <c r="T10" s="367" t="s">
        <v>96</v>
      </c>
      <c r="U10" s="370" t="s">
        <v>32</v>
      </c>
      <c r="V10" s="371"/>
      <c r="W10" s="372"/>
      <c r="X10" s="373" t="s">
        <v>32</v>
      </c>
      <c r="Y10" s="374"/>
      <c r="Z10" s="375"/>
      <c r="AA10" s="376" t="s">
        <v>94</v>
      </c>
      <c r="AB10" s="414" t="s">
        <v>252</v>
      </c>
      <c r="AC10" s="414" t="s">
        <v>100</v>
      </c>
      <c r="AD10" s="398" t="s">
        <v>101</v>
      </c>
      <c r="AE10" s="399"/>
      <c r="AF10" s="404" t="s">
        <v>262</v>
      </c>
      <c r="AG10" s="405"/>
      <c r="AH10" s="406"/>
      <c r="AI10" s="410" t="s">
        <v>263</v>
      </c>
      <c r="AJ10" s="411"/>
      <c r="AK10" s="387" t="s">
        <v>265</v>
      </c>
      <c r="AL10" s="388"/>
      <c r="AM10" s="389"/>
      <c r="AN10" s="393" t="s">
        <v>97</v>
      </c>
      <c r="AO10" s="394"/>
      <c r="AP10" s="394"/>
      <c r="AQ10" s="394"/>
      <c r="AR10" s="394"/>
      <c r="AS10" s="394"/>
      <c r="AT10" s="394"/>
      <c r="AU10" s="395"/>
    </row>
    <row r="11" spans="1:47" s="285" customFormat="1" ht="44.25" customHeight="1" thickBot="1">
      <c r="A11" s="358" t="s">
        <v>5</v>
      </c>
      <c r="B11" s="358" t="s">
        <v>27</v>
      </c>
      <c r="C11" s="358" t="s">
        <v>93</v>
      </c>
      <c r="D11" s="361"/>
      <c r="E11" s="361"/>
      <c r="F11" s="361"/>
      <c r="G11" s="361"/>
      <c r="H11" s="358"/>
      <c r="I11" s="385"/>
      <c r="J11" s="281" t="s">
        <v>8</v>
      </c>
      <c r="K11" s="282" t="s">
        <v>11</v>
      </c>
      <c r="L11" s="282" t="s">
        <v>14</v>
      </c>
      <c r="M11" s="282" t="s">
        <v>15</v>
      </c>
      <c r="N11" s="282" t="s">
        <v>17</v>
      </c>
      <c r="O11" s="282" t="s">
        <v>19</v>
      </c>
      <c r="P11" s="282" t="s">
        <v>21</v>
      </c>
      <c r="Q11" s="283" t="s">
        <v>23</v>
      </c>
      <c r="R11" s="365"/>
      <c r="S11" s="365"/>
      <c r="T11" s="368"/>
      <c r="U11" s="379">
        <v>2018</v>
      </c>
      <c r="V11" s="379">
        <v>2019</v>
      </c>
      <c r="W11" s="379">
        <v>2020</v>
      </c>
      <c r="X11" s="396">
        <f t="shared" ref="X11" si="0">U11</f>
        <v>2018</v>
      </c>
      <c r="Y11" s="396">
        <f>V11</f>
        <v>2019</v>
      </c>
      <c r="Z11" s="396">
        <f>W11</f>
        <v>2020</v>
      </c>
      <c r="AA11" s="377"/>
      <c r="AB11" s="415"/>
      <c r="AC11" s="415"/>
      <c r="AD11" s="400"/>
      <c r="AE11" s="401"/>
      <c r="AF11" s="407"/>
      <c r="AG11" s="408"/>
      <c r="AH11" s="409"/>
      <c r="AI11" s="412"/>
      <c r="AJ11" s="413"/>
      <c r="AK11" s="390"/>
      <c r="AL11" s="391"/>
      <c r="AM11" s="392"/>
      <c r="AN11" s="284" t="s">
        <v>8</v>
      </c>
      <c r="AO11" s="284" t="s">
        <v>11</v>
      </c>
      <c r="AP11" s="284" t="s">
        <v>14</v>
      </c>
      <c r="AQ11" s="284" t="s">
        <v>15</v>
      </c>
      <c r="AR11" s="284" t="s">
        <v>17</v>
      </c>
      <c r="AS11" s="284" t="s">
        <v>19</v>
      </c>
      <c r="AT11" s="284" t="s">
        <v>21</v>
      </c>
      <c r="AU11" s="284" t="s">
        <v>23</v>
      </c>
    </row>
    <row r="12" spans="1:47" customFormat="1" ht="15" customHeight="1" thickBot="1">
      <c r="A12" s="359"/>
      <c r="B12" s="359"/>
      <c r="C12" s="359"/>
      <c r="D12" s="362"/>
      <c r="E12" s="362"/>
      <c r="F12" s="362"/>
      <c r="G12" s="362"/>
      <c r="H12" s="359"/>
      <c r="I12" s="386"/>
      <c r="J12" s="286">
        <v>0.15</v>
      </c>
      <c r="K12" s="287">
        <v>0.15</v>
      </c>
      <c r="L12" s="287">
        <v>0.1</v>
      </c>
      <c r="M12" s="287">
        <v>0.1</v>
      </c>
      <c r="N12" s="287">
        <v>0.1</v>
      </c>
      <c r="O12" s="287">
        <v>0.15</v>
      </c>
      <c r="P12" s="287">
        <v>0.1</v>
      </c>
      <c r="Q12" s="288">
        <v>0.15</v>
      </c>
      <c r="R12" s="366"/>
      <c r="S12" s="366"/>
      <c r="T12" s="369"/>
      <c r="U12" s="380"/>
      <c r="V12" s="380"/>
      <c r="W12" s="380"/>
      <c r="X12" s="397"/>
      <c r="Y12" s="397"/>
      <c r="Z12" s="397"/>
      <c r="AA12" s="378"/>
      <c r="AB12" s="416"/>
      <c r="AC12" s="416"/>
      <c r="AD12" s="402"/>
      <c r="AE12" s="403"/>
      <c r="AF12" s="289" t="s">
        <v>266</v>
      </c>
      <c r="AG12" s="290" t="s">
        <v>267</v>
      </c>
      <c r="AH12" s="291" t="s">
        <v>268</v>
      </c>
      <c r="AI12" s="289" t="s">
        <v>266</v>
      </c>
      <c r="AJ12" s="292" t="s">
        <v>267</v>
      </c>
      <c r="AK12" s="293" t="s">
        <v>269</v>
      </c>
      <c r="AL12" s="294" t="s">
        <v>270</v>
      </c>
      <c r="AM12" s="295" t="s">
        <v>271</v>
      </c>
      <c r="AN12" s="296">
        <v>0.15</v>
      </c>
      <c r="AO12" s="296">
        <v>0.15</v>
      </c>
      <c r="AP12" s="296">
        <v>0.1</v>
      </c>
      <c r="AQ12" s="296">
        <v>0.1</v>
      </c>
      <c r="AR12" s="296">
        <v>0.1</v>
      </c>
      <c r="AS12" s="296">
        <v>0.15</v>
      </c>
      <c r="AT12" s="296">
        <v>0.1</v>
      </c>
      <c r="AU12" s="296">
        <v>0.15</v>
      </c>
    </row>
    <row r="13" spans="1:47" ht="13.5" customHeight="1">
      <c r="A13" s="227">
        <v>1</v>
      </c>
      <c r="B13" s="228">
        <v>330</v>
      </c>
      <c r="C13" s="228" t="s">
        <v>315</v>
      </c>
      <c r="D13" s="228" t="s">
        <v>317</v>
      </c>
      <c r="E13" s="228" t="s">
        <v>311</v>
      </c>
      <c r="F13" s="228" t="s">
        <v>316</v>
      </c>
      <c r="G13" s="227">
        <v>33</v>
      </c>
      <c r="H13" s="227" t="s">
        <v>319</v>
      </c>
      <c r="I13" s="229" t="s">
        <v>320</v>
      </c>
      <c r="J13" s="230">
        <v>3</v>
      </c>
      <c r="K13" s="231">
        <v>4</v>
      </c>
      <c r="L13" s="231">
        <v>3</v>
      </c>
      <c r="M13" s="231">
        <v>3</v>
      </c>
      <c r="N13" s="231">
        <v>3</v>
      </c>
      <c r="O13" s="231">
        <v>3</v>
      </c>
      <c r="P13" s="231">
        <v>3</v>
      </c>
      <c r="Q13" s="232">
        <v>2.5</v>
      </c>
      <c r="R13" s="233">
        <f>AVERAGE((J13*0.15)+(K13*0.15)+(L13*0.1)+(M13*0.1)+(N13*0.1)+(O13*0.15)+(P13*0.1)+(Q13*0.15))</f>
        <v>3.0750000000000002</v>
      </c>
      <c r="S13" s="227">
        <f>R13/5</f>
        <v>0.61499999999999999</v>
      </c>
      <c r="T13" s="227" t="str">
        <f>IF(S13&gt;=0.71,"C3",IF(S13&gt;=0.61,"C2",IF(S13&gt;=0.5,"C1",IF(S13&lt;0.5,"C0",0))))</f>
        <v>C2</v>
      </c>
      <c r="U13" s="230" t="s">
        <v>158</v>
      </c>
      <c r="V13" s="231" t="s">
        <v>245</v>
      </c>
      <c r="W13" s="232" t="s">
        <v>245</v>
      </c>
      <c r="X13" s="234">
        <f>VLOOKUP(U13,Kategori,2,0)</f>
        <v>4</v>
      </c>
      <c r="Y13" s="231">
        <f>VLOOKUP(V13,Kategori,2,0)</f>
        <v>5</v>
      </c>
      <c r="Z13" s="235">
        <f>VLOOKUP(W13,Kategori,2,0)</f>
        <v>5</v>
      </c>
      <c r="AA13" s="227">
        <f>SUM(X13:Z13)</f>
        <v>14</v>
      </c>
      <c r="AB13" s="227" t="str">
        <f>IF(AA13&gt;=21,"R3",IF(AA13&gt;=16,"R2",IF(AA13&gt;=12,"R1",IF(AA13&gt;=1, "R0",0))))</f>
        <v>R1</v>
      </c>
      <c r="AC13" s="227" t="str">
        <f>IF(OR(U13="C",U13="C+",U13="K",V13="C",V13="C+",V13="K",W13="C",W13="C+",W13="K"),"R0",AB13)</f>
        <v>R1</v>
      </c>
      <c r="AD13" s="227">
        <f>VLOOKUP(AC13,TabelR8, VLOOKUP(T13,TabelC8,2,0),0)</f>
        <v>6</v>
      </c>
      <c r="AE13" s="227" t="str">
        <f>VLOOKUP(AD13,Kuadran8,2, )</f>
        <v>Candidate</v>
      </c>
      <c r="AF13" s="230"/>
      <c r="AG13" s="231"/>
      <c r="AH13" s="232"/>
      <c r="AI13" s="230"/>
      <c r="AJ13" s="232"/>
      <c r="AK13" s="230"/>
      <c r="AL13" s="231"/>
      <c r="AM13" s="232"/>
      <c r="AN13" s="236" t="s">
        <v>161</v>
      </c>
      <c r="AO13" s="236" t="s">
        <v>162</v>
      </c>
      <c r="AP13" s="236" t="s">
        <v>161</v>
      </c>
      <c r="AQ13" s="236" t="s">
        <v>162</v>
      </c>
      <c r="AR13" s="236" t="s">
        <v>162</v>
      </c>
      <c r="AS13" s="236" t="s">
        <v>161</v>
      </c>
      <c r="AT13" s="236" t="s">
        <v>162</v>
      </c>
      <c r="AU13" s="236" t="s">
        <v>161</v>
      </c>
    </row>
    <row r="14" spans="1:47" ht="18" hidden="1" customHeight="1">
      <c r="A14" s="237"/>
      <c r="B14" s="238"/>
      <c r="C14" s="238"/>
      <c r="D14" s="238"/>
      <c r="E14" s="238"/>
      <c r="F14" s="238"/>
      <c r="G14" s="237"/>
      <c r="H14" s="237"/>
      <c r="I14" s="239"/>
      <c r="J14" s="240"/>
      <c r="K14" s="241"/>
      <c r="L14" s="241"/>
      <c r="M14" s="241"/>
      <c r="N14" s="241"/>
      <c r="O14" s="241"/>
      <c r="P14" s="241"/>
      <c r="Q14" s="242"/>
      <c r="R14" s="243"/>
      <c r="S14" s="237"/>
      <c r="T14" s="237"/>
      <c r="U14" s="240"/>
      <c r="V14" s="241"/>
      <c r="W14" s="242"/>
      <c r="X14" s="244"/>
      <c r="Y14" s="241"/>
      <c r="Z14" s="245"/>
      <c r="AA14" s="237"/>
      <c r="AB14" s="237"/>
      <c r="AC14" s="237"/>
      <c r="AD14" s="237"/>
      <c r="AE14" s="237"/>
      <c r="AF14" s="240"/>
      <c r="AG14" s="241"/>
      <c r="AH14" s="242"/>
      <c r="AI14" s="240"/>
      <c r="AJ14" s="242"/>
      <c r="AK14" s="240"/>
      <c r="AL14" s="241"/>
      <c r="AM14" s="242"/>
      <c r="AN14" s="246"/>
      <c r="AO14" s="246"/>
      <c r="AP14" s="246"/>
      <c r="AQ14" s="246"/>
      <c r="AR14" s="246"/>
      <c r="AS14" s="246"/>
      <c r="AT14" s="246"/>
      <c r="AU14" s="246"/>
    </row>
    <row r="15" spans="1:47" ht="13.5" customHeight="1">
      <c r="A15" s="237"/>
      <c r="B15" s="238"/>
      <c r="C15" s="238"/>
      <c r="D15" s="238"/>
      <c r="E15" s="238"/>
      <c r="F15" s="238"/>
      <c r="G15" s="237"/>
      <c r="H15" s="237"/>
      <c r="I15" s="239"/>
      <c r="J15" s="240"/>
      <c r="K15" s="241"/>
      <c r="L15" s="241"/>
      <c r="M15" s="241"/>
      <c r="N15" s="241"/>
      <c r="O15" s="241"/>
      <c r="P15" s="241"/>
      <c r="Q15" s="242"/>
      <c r="R15" s="237"/>
      <c r="S15" s="237"/>
      <c r="T15" s="237"/>
      <c r="U15" s="240"/>
      <c r="V15" s="241"/>
      <c r="W15" s="242"/>
      <c r="X15" s="244"/>
      <c r="Y15" s="241"/>
      <c r="Z15" s="245"/>
      <c r="AA15" s="237"/>
      <c r="AB15" s="237"/>
      <c r="AC15" s="237"/>
      <c r="AD15" s="237"/>
      <c r="AE15" s="237"/>
      <c r="AF15" s="240"/>
      <c r="AG15" s="241"/>
      <c r="AH15" s="242"/>
      <c r="AI15" s="240"/>
      <c r="AJ15" s="242"/>
      <c r="AK15" s="240"/>
      <c r="AL15" s="241"/>
      <c r="AM15" s="242"/>
      <c r="AN15" s="246"/>
      <c r="AO15" s="246"/>
      <c r="AP15" s="246"/>
      <c r="AQ15" s="246"/>
      <c r="AR15" s="246"/>
      <c r="AS15" s="246"/>
      <c r="AT15" s="246"/>
      <c r="AU15" s="246"/>
    </row>
    <row r="16" spans="1:47">
      <c r="A16" s="237"/>
      <c r="B16" s="238"/>
      <c r="C16" s="238"/>
      <c r="D16" s="238"/>
      <c r="E16" s="238"/>
      <c r="F16" s="238"/>
      <c r="G16" s="237"/>
      <c r="H16" s="237"/>
      <c r="I16" s="239"/>
      <c r="J16" s="240"/>
      <c r="K16" s="241"/>
      <c r="L16" s="241"/>
      <c r="M16" s="241"/>
      <c r="N16" s="241"/>
      <c r="O16" s="241"/>
      <c r="P16" s="241"/>
      <c r="Q16" s="242"/>
      <c r="R16" s="237"/>
      <c r="S16" s="237"/>
      <c r="T16" s="237"/>
      <c r="U16" s="240"/>
      <c r="V16" s="241"/>
      <c r="W16" s="242"/>
      <c r="X16" s="244"/>
      <c r="Y16" s="241"/>
      <c r="Z16" s="245"/>
      <c r="AA16" s="237"/>
      <c r="AB16" s="237"/>
      <c r="AC16" s="237"/>
      <c r="AD16" s="237"/>
      <c r="AE16" s="237"/>
      <c r="AF16" s="240"/>
      <c r="AG16" s="241"/>
      <c r="AH16" s="242"/>
      <c r="AI16" s="240"/>
      <c r="AJ16" s="242"/>
      <c r="AK16" s="240"/>
      <c r="AL16" s="241"/>
      <c r="AM16" s="242"/>
      <c r="AN16" s="246"/>
      <c r="AO16" s="246"/>
      <c r="AP16" s="246"/>
      <c r="AQ16" s="246"/>
      <c r="AR16" s="246"/>
      <c r="AS16" s="246"/>
      <c r="AT16" s="246"/>
      <c r="AU16" s="246"/>
    </row>
    <row r="17" spans="1:47">
      <c r="A17" s="237"/>
      <c r="B17" s="238"/>
      <c r="C17" s="238"/>
      <c r="D17" s="238"/>
      <c r="E17" s="238"/>
      <c r="F17" s="238"/>
      <c r="G17" s="237"/>
      <c r="H17" s="237"/>
      <c r="I17" s="239"/>
      <c r="J17" s="240"/>
      <c r="K17" s="241"/>
      <c r="L17" s="241"/>
      <c r="M17" s="241"/>
      <c r="N17" s="241"/>
      <c r="O17" s="241"/>
      <c r="P17" s="241"/>
      <c r="Q17" s="242"/>
      <c r="R17" s="237"/>
      <c r="S17" s="237"/>
      <c r="T17" s="237"/>
      <c r="U17" s="240"/>
      <c r="V17" s="241"/>
      <c r="W17" s="242"/>
      <c r="X17" s="244"/>
      <c r="Y17" s="241"/>
      <c r="Z17" s="245"/>
      <c r="AA17" s="237"/>
      <c r="AB17" s="237"/>
      <c r="AC17" s="237"/>
      <c r="AD17" s="237"/>
      <c r="AE17" s="237"/>
      <c r="AF17" s="240"/>
      <c r="AG17" s="241"/>
      <c r="AH17" s="242"/>
      <c r="AI17" s="240"/>
      <c r="AJ17" s="242"/>
      <c r="AK17" s="240"/>
      <c r="AL17" s="241"/>
      <c r="AM17" s="242"/>
      <c r="AN17" s="246"/>
      <c r="AO17" s="246"/>
      <c r="AP17" s="246"/>
      <c r="AQ17" s="246"/>
      <c r="AR17" s="246"/>
      <c r="AS17" s="246"/>
      <c r="AT17" s="246"/>
      <c r="AU17" s="246"/>
    </row>
    <row r="18" spans="1:47">
      <c r="A18" s="237"/>
      <c r="B18" s="238"/>
      <c r="C18" s="238"/>
      <c r="D18" s="238"/>
      <c r="E18" s="238"/>
      <c r="F18" s="238"/>
      <c r="G18" s="237"/>
      <c r="H18" s="237"/>
      <c r="I18" s="239"/>
      <c r="J18" s="240"/>
      <c r="K18" s="241"/>
      <c r="L18" s="241"/>
      <c r="M18" s="241"/>
      <c r="N18" s="241"/>
      <c r="O18" s="241"/>
      <c r="P18" s="241"/>
      <c r="Q18" s="242"/>
      <c r="R18" s="237"/>
      <c r="S18" s="237"/>
      <c r="T18" s="237"/>
      <c r="U18" s="240"/>
      <c r="V18" s="241"/>
      <c r="W18" s="242"/>
      <c r="X18" s="244"/>
      <c r="Y18" s="241"/>
      <c r="Z18" s="245"/>
      <c r="AA18" s="237"/>
      <c r="AB18" s="237"/>
      <c r="AC18" s="237"/>
      <c r="AD18" s="237"/>
      <c r="AE18" s="237"/>
      <c r="AF18" s="240"/>
      <c r="AG18" s="241"/>
      <c r="AH18" s="242"/>
      <c r="AI18" s="240"/>
      <c r="AJ18" s="242"/>
      <c r="AK18" s="240"/>
      <c r="AL18" s="241"/>
      <c r="AM18" s="242"/>
      <c r="AN18" s="246"/>
      <c r="AO18" s="246"/>
      <c r="AP18" s="246"/>
      <c r="AQ18" s="246"/>
      <c r="AR18" s="246"/>
      <c r="AS18" s="246"/>
      <c r="AT18" s="246"/>
      <c r="AU18" s="246"/>
    </row>
    <row r="19" spans="1:47">
      <c r="A19" s="237"/>
      <c r="B19" s="238"/>
      <c r="C19" s="238"/>
      <c r="D19" s="238"/>
      <c r="E19" s="238"/>
      <c r="F19" s="238"/>
      <c r="G19" s="237"/>
      <c r="H19" s="237"/>
      <c r="I19" s="239"/>
      <c r="J19" s="240"/>
      <c r="K19" s="241"/>
      <c r="L19" s="241"/>
      <c r="M19" s="241"/>
      <c r="N19" s="241"/>
      <c r="O19" s="241"/>
      <c r="P19" s="241"/>
      <c r="Q19" s="242"/>
      <c r="R19" s="237"/>
      <c r="S19" s="237"/>
      <c r="T19" s="237"/>
      <c r="U19" s="240"/>
      <c r="V19" s="241"/>
      <c r="W19" s="242"/>
      <c r="X19" s="244"/>
      <c r="Y19" s="241"/>
      <c r="Z19" s="245"/>
      <c r="AA19" s="237"/>
      <c r="AB19" s="237"/>
      <c r="AC19" s="237"/>
      <c r="AD19" s="237"/>
      <c r="AE19" s="237"/>
      <c r="AF19" s="240"/>
      <c r="AG19" s="241"/>
      <c r="AH19" s="242"/>
      <c r="AI19" s="240"/>
      <c r="AJ19" s="242"/>
      <c r="AK19" s="240"/>
      <c r="AL19" s="241"/>
      <c r="AM19" s="242"/>
      <c r="AN19" s="246"/>
      <c r="AO19" s="246"/>
      <c r="AP19" s="246"/>
      <c r="AQ19" s="246"/>
      <c r="AR19" s="246"/>
      <c r="AS19" s="246"/>
      <c r="AT19" s="246"/>
      <c r="AU19" s="246"/>
    </row>
    <row r="20" spans="1:47">
      <c r="A20" s="237"/>
      <c r="B20" s="238"/>
      <c r="C20" s="238"/>
      <c r="D20" s="238"/>
      <c r="E20" s="238"/>
      <c r="F20" s="238"/>
      <c r="G20" s="237"/>
      <c r="H20" s="237"/>
      <c r="I20" s="239"/>
      <c r="J20" s="240"/>
      <c r="K20" s="241"/>
      <c r="L20" s="241"/>
      <c r="M20" s="241"/>
      <c r="N20" s="241"/>
      <c r="O20" s="241"/>
      <c r="P20" s="241"/>
      <c r="Q20" s="242"/>
      <c r="R20" s="237"/>
      <c r="S20" s="237"/>
      <c r="T20" s="237"/>
      <c r="U20" s="240"/>
      <c r="V20" s="241"/>
      <c r="W20" s="242"/>
      <c r="X20" s="244"/>
      <c r="Y20" s="241"/>
      <c r="Z20" s="245"/>
      <c r="AA20" s="237"/>
      <c r="AB20" s="237"/>
      <c r="AC20" s="237"/>
      <c r="AD20" s="237"/>
      <c r="AE20" s="237"/>
      <c r="AF20" s="240"/>
      <c r="AG20" s="241"/>
      <c r="AH20" s="242"/>
      <c r="AI20" s="240"/>
      <c r="AJ20" s="242"/>
      <c r="AK20" s="240"/>
      <c r="AL20" s="241"/>
      <c r="AM20" s="242"/>
      <c r="AN20" s="246"/>
      <c r="AO20" s="246"/>
      <c r="AP20" s="246"/>
      <c r="AQ20" s="246"/>
      <c r="AR20" s="246"/>
      <c r="AS20" s="246"/>
      <c r="AT20" s="246"/>
      <c r="AU20" s="246"/>
    </row>
    <row r="21" spans="1:47">
      <c r="A21" s="237"/>
      <c r="B21" s="238"/>
      <c r="C21" s="238"/>
      <c r="D21" s="238"/>
      <c r="E21" s="238"/>
      <c r="F21" s="238"/>
      <c r="G21" s="237"/>
      <c r="H21" s="237"/>
      <c r="I21" s="239"/>
      <c r="J21" s="240"/>
      <c r="K21" s="241"/>
      <c r="L21" s="241"/>
      <c r="M21" s="241"/>
      <c r="N21" s="241"/>
      <c r="O21" s="241"/>
      <c r="P21" s="241"/>
      <c r="Q21" s="242"/>
      <c r="R21" s="237"/>
      <c r="S21" s="237"/>
      <c r="T21" s="237"/>
      <c r="U21" s="240"/>
      <c r="V21" s="241"/>
      <c r="W21" s="242"/>
      <c r="X21" s="244"/>
      <c r="Y21" s="241"/>
      <c r="Z21" s="245"/>
      <c r="AA21" s="237"/>
      <c r="AB21" s="237"/>
      <c r="AC21" s="237"/>
      <c r="AD21" s="237"/>
      <c r="AE21" s="237"/>
      <c r="AF21" s="240"/>
      <c r="AG21" s="241"/>
      <c r="AH21" s="242"/>
      <c r="AI21" s="240"/>
      <c r="AJ21" s="242"/>
      <c r="AK21" s="240"/>
      <c r="AL21" s="241"/>
      <c r="AM21" s="242"/>
      <c r="AN21" s="246"/>
      <c r="AO21" s="246"/>
      <c r="AP21" s="246"/>
      <c r="AQ21" s="246"/>
      <c r="AR21" s="246"/>
      <c r="AS21" s="246"/>
      <c r="AT21" s="246"/>
      <c r="AU21" s="246"/>
    </row>
    <row r="22" spans="1:47">
      <c r="A22" s="237"/>
      <c r="B22" s="238"/>
      <c r="C22" s="238"/>
      <c r="D22" s="238"/>
      <c r="E22" s="238"/>
      <c r="F22" s="238"/>
      <c r="G22" s="237"/>
      <c r="H22" s="237"/>
      <c r="I22" s="239"/>
      <c r="J22" s="240"/>
      <c r="K22" s="241"/>
      <c r="L22" s="241"/>
      <c r="M22" s="241"/>
      <c r="N22" s="241"/>
      <c r="O22" s="241"/>
      <c r="P22" s="241"/>
      <c r="Q22" s="242"/>
      <c r="R22" s="237"/>
      <c r="S22" s="237"/>
      <c r="T22" s="237"/>
      <c r="U22" s="240"/>
      <c r="V22" s="241"/>
      <c r="W22" s="242"/>
      <c r="X22" s="244"/>
      <c r="Y22" s="241"/>
      <c r="Z22" s="245"/>
      <c r="AA22" s="237"/>
      <c r="AB22" s="237"/>
      <c r="AC22" s="237"/>
      <c r="AD22" s="237"/>
      <c r="AE22" s="237"/>
      <c r="AF22" s="240"/>
      <c r="AG22" s="241"/>
      <c r="AH22" s="242"/>
      <c r="AI22" s="240"/>
      <c r="AJ22" s="242"/>
      <c r="AK22" s="240"/>
      <c r="AL22" s="241"/>
      <c r="AM22" s="242"/>
      <c r="AN22" s="246"/>
      <c r="AO22" s="246"/>
      <c r="AP22" s="246"/>
      <c r="AQ22" s="246"/>
      <c r="AR22" s="246"/>
      <c r="AS22" s="246"/>
      <c r="AT22" s="246"/>
      <c r="AU22" s="246"/>
    </row>
    <row r="23" spans="1:47">
      <c r="A23" s="237"/>
      <c r="B23" s="238"/>
      <c r="C23" s="238"/>
      <c r="D23" s="238"/>
      <c r="E23" s="238"/>
      <c r="F23" s="238"/>
      <c r="G23" s="237"/>
      <c r="H23" s="237"/>
      <c r="I23" s="239"/>
      <c r="J23" s="240"/>
      <c r="K23" s="241"/>
      <c r="L23" s="241"/>
      <c r="M23" s="241"/>
      <c r="N23" s="241"/>
      <c r="O23" s="241"/>
      <c r="P23" s="241"/>
      <c r="Q23" s="242"/>
      <c r="R23" s="237"/>
      <c r="S23" s="237"/>
      <c r="T23" s="237"/>
      <c r="U23" s="240"/>
      <c r="V23" s="241"/>
      <c r="W23" s="242"/>
      <c r="X23" s="244"/>
      <c r="Y23" s="241"/>
      <c r="Z23" s="245"/>
      <c r="AA23" s="237"/>
      <c r="AB23" s="237"/>
      <c r="AC23" s="237"/>
      <c r="AD23" s="237"/>
      <c r="AE23" s="237"/>
      <c r="AF23" s="240"/>
      <c r="AG23" s="241"/>
      <c r="AH23" s="242"/>
      <c r="AI23" s="240"/>
      <c r="AJ23" s="242"/>
      <c r="AK23" s="240"/>
      <c r="AL23" s="241"/>
      <c r="AM23" s="242"/>
      <c r="AN23" s="246"/>
      <c r="AO23" s="246"/>
      <c r="AP23" s="246"/>
      <c r="AQ23" s="246"/>
      <c r="AR23" s="246"/>
      <c r="AS23" s="246"/>
      <c r="AT23" s="246"/>
      <c r="AU23" s="246"/>
    </row>
    <row r="24" spans="1:47">
      <c r="A24" s="237"/>
      <c r="B24" s="238"/>
      <c r="C24" s="238"/>
      <c r="D24" s="238"/>
      <c r="E24" s="238"/>
      <c r="F24" s="238"/>
      <c r="G24" s="237"/>
      <c r="H24" s="237"/>
      <c r="I24" s="239"/>
      <c r="J24" s="240"/>
      <c r="K24" s="241"/>
      <c r="L24" s="241"/>
      <c r="M24" s="241"/>
      <c r="N24" s="241"/>
      <c r="O24" s="241"/>
      <c r="P24" s="241"/>
      <c r="Q24" s="242"/>
      <c r="R24" s="237"/>
      <c r="S24" s="237"/>
      <c r="T24" s="237"/>
      <c r="U24" s="240"/>
      <c r="V24" s="241"/>
      <c r="W24" s="242"/>
      <c r="X24" s="244"/>
      <c r="Y24" s="241"/>
      <c r="Z24" s="245"/>
      <c r="AA24" s="237"/>
      <c r="AB24" s="237"/>
      <c r="AC24" s="237"/>
      <c r="AD24" s="237"/>
      <c r="AE24" s="237"/>
      <c r="AF24" s="240"/>
      <c r="AG24" s="241"/>
      <c r="AH24" s="242"/>
      <c r="AI24" s="240"/>
      <c r="AJ24" s="242"/>
      <c r="AK24" s="240"/>
      <c r="AL24" s="241"/>
      <c r="AM24" s="242"/>
      <c r="AN24" s="246"/>
      <c r="AO24" s="246"/>
      <c r="AP24" s="246"/>
      <c r="AQ24" s="246"/>
      <c r="AR24" s="246"/>
      <c r="AS24" s="246"/>
      <c r="AT24" s="246"/>
      <c r="AU24" s="246"/>
    </row>
    <row r="25" spans="1:47">
      <c r="A25" s="237"/>
      <c r="B25" s="238"/>
      <c r="C25" s="238"/>
      <c r="D25" s="238"/>
      <c r="E25" s="238"/>
      <c r="F25" s="238"/>
      <c r="G25" s="237"/>
      <c r="H25" s="237"/>
      <c r="I25" s="239"/>
      <c r="J25" s="240"/>
      <c r="K25" s="241"/>
      <c r="L25" s="241"/>
      <c r="M25" s="241"/>
      <c r="N25" s="241"/>
      <c r="O25" s="241"/>
      <c r="P25" s="241"/>
      <c r="Q25" s="242"/>
      <c r="R25" s="237"/>
      <c r="S25" s="237"/>
      <c r="T25" s="237"/>
      <c r="U25" s="240"/>
      <c r="V25" s="241"/>
      <c r="W25" s="242"/>
      <c r="X25" s="244"/>
      <c r="Y25" s="241"/>
      <c r="Z25" s="245"/>
      <c r="AA25" s="237"/>
      <c r="AB25" s="237"/>
      <c r="AC25" s="237"/>
      <c r="AD25" s="237"/>
      <c r="AE25" s="237"/>
      <c r="AF25" s="240"/>
      <c r="AG25" s="241"/>
      <c r="AH25" s="242"/>
      <c r="AI25" s="240"/>
      <c r="AJ25" s="242"/>
      <c r="AK25" s="240"/>
      <c r="AL25" s="241"/>
      <c r="AM25" s="242"/>
      <c r="AN25" s="246"/>
      <c r="AO25" s="246"/>
      <c r="AP25" s="246"/>
      <c r="AQ25" s="246"/>
      <c r="AR25" s="246"/>
      <c r="AS25" s="246"/>
      <c r="AT25" s="246"/>
      <c r="AU25" s="246"/>
    </row>
    <row r="26" spans="1:47">
      <c r="A26" s="247"/>
      <c r="B26" s="248"/>
      <c r="C26" s="248"/>
      <c r="D26" s="248"/>
      <c r="E26" s="248"/>
      <c r="F26" s="248"/>
      <c r="G26" s="249"/>
      <c r="H26" s="249"/>
      <c r="I26" s="250"/>
      <c r="J26" s="251"/>
      <c r="K26" s="252"/>
      <c r="L26" s="252"/>
      <c r="M26" s="252"/>
      <c r="N26" s="252"/>
      <c r="O26" s="252"/>
      <c r="P26" s="252"/>
      <c r="Q26" s="253"/>
      <c r="R26" s="237"/>
      <c r="S26" s="249"/>
      <c r="T26" s="249"/>
      <c r="U26" s="251"/>
      <c r="V26" s="252"/>
      <c r="W26" s="253"/>
      <c r="X26" s="254"/>
      <c r="Y26" s="252"/>
      <c r="Z26" s="255"/>
      <c r="AA26" s="249"/>
      <c r="AB26" s="249"/>
      <c r="AC26" s="249"/>
      <c r="AD26" s="249"/>
      <c r="AE26" s="249"/>
      <c r="AF26" s="240"/>
      <c r="AG26" s="241"/>
      <c r="AH26" s="242"/>
      <c r="AI26" s="240"/>
      <c r="AJ26" s="242"/>
      <c r="AK26" s="240"/>
      <c r="AL26" s="241"/>
      <c r="AM26" s="242"/>
      <c r="AN26" s="246"/>
      <c r="AO26" s="246"/>
      <c r="AP26" s="246"/>
      <c r="AQ26" s="246"/>
      <c r="AR26" s="246"/>
      <c r="AS26" s="246"/>
      <c r="AT26" s="246"/>
      <c r="AU26" s="246"/>
    </row>
    <row r="27" spans="1:47">
      <c r="A27" s="247"/>
      <c r="B27" s="248"/>
      <c r="C27" s="248"/>
      <c r="D27" s="248"/>
      <c r="E27" s="248"/>
      <c r="F27" s="248"/>
      <c r="G27" s="249"/>
      <c r="H27" s="249"/>
      <c r="I27" s="250"/>
      <c r="J27" s="251"/>
      <c r="K27" s="252"/>
      <c r="L27" s="252"/>
      <c r="M27" s="252"/>
      <c r="N27" s="252"/>
      <c r="O27" s="252"/>
      <c r="P27" s="252"/>
      <c r="Q27" s="253"/>
      <c r="R27" s="249"/>
      <c r="S27" s="249"/>
      <c r="T27" s="249"/>
      <c r="U27" s="251"/>
      <c r="V27" s="252"/>
      <c r="W27" s="253"/>
      <c r="X27" s="254"/>
      <c r="Y27" s="252"/>
      <c r="Z27" s="255"/>
      <c r="AA27" s="249"/>
      <c r="AB27" s="249"/>
      <c r="AC27" s="249"/>
      <c r="AD27" s="249"/>
      <c r="AE27" s="249"/>
      <c r="AF27" s="240"/>
      <c r="AG27" s="241"/>
      <c r="AH27" s="242"/>
      <c r="AI27" s="240"/>
      <c r="AJ27" s="242"/>
      <c r="AK27" s="240"/>
      <c r="AL27" s="241"/>
      <c r="AM27" s="242"/>
      <c r="AN27" s="246"/>
      <c r="AO27" s="246"/>
      <c r="AP27" s="246"/>
      <c r="AQ27" s="246"/>
      <c r="AR27" s="246"/>
      <c r="AS27" s="246"/>
      <c r="AT27" s="246"/>
      <c r="AU27" s="246"/>
    </row>
    <row r="28" spans="1:47">
      <c r="A28" s="247"/>
      <c r="B28" s="248"/>
      <c r="C28" s="248"/>
      <c r="D28" s="248"/>
      <c r="E28" s="248"/>
      <c r="F28" s="248"/>
      <c r="G28" s="249"/>
      <c r="H28" s="249"/>
      <c r="I28" s="250"/>
      <c r="J28" s="251"/>
      <c r="K28" s="252"/>
      <c r="L28" s="252"/>
      <c r="M28" s="252"/>
      <c r="N28" s="252"/>
      <c r="O28" s="252"/>
      <c r="P28" s="252"/>
      <c r="Q28" s="253"/>
      <c r="R28" s="249"/>
      <c r="S28" s="249"/>
      <c r="T28" s="249"/>
      <c r="U28" s="251"/>
      <c r="V28" s="252"/>
      <c r="W28" s="253"/>
      <c r="X28" s="254"/>
      <c r="Y28" s="252"/>
      <c r="Z28" s="255"/>
      <c r="AA28" s="249"/>
      <c r="AB28" s="249"/>
      <c r="AC28" s="249"/>
      <c r="AD28" s="249"/>
      <c r="AE28" s="249"/>
      <c r="AF28" s="240"/>
      <c r="AG28" s="241"/>
      <c r="AH28" s="242"/>
      <c r="AI28" s="240"/>
      <c r="AJ28" s="242"/>
      <c r="AK28" s="240"/>
      <c r="AL28" s="241"/>
      <c r="AM28" s="242"/>
      <c r="AN28" s="246"/>
      <c r="AO28" s="246"/>
      <c r="AP28" s="246"/>
      <c r="AQ28" s="246"/>
      <c r="AR28" s="246"/>
      <c r="AS28" s="246"/>
      <c r="AT28" s="246"/>
      <c r="AU28" s="246"/>
    </row>
    <row r="29" spans="1:47">
      <c r="A29" s="247"/>
      <c r="B29" s="248"/>
      <c r="C29" s="248"/>
      <c r="D29" s="248"/>
      <c r="E29" s="248"/>
      <c r="F29" s="248"/>
      <c r="G29" s="249"/>
      <c r="H29" s="249"/>
      <c r="I29" s="250"/>
      <c r="J29" s="251"/>
      <c r="K29" s="252"/>
      <c r="L29" s="252"/>
      <c r="M29" s="252"/>
      <c r="N29" s="252"/>
      <c r="O29" s="252"/>
      <c r="P29" s="252"/>
      <c r="Q29" s="253"/>
      <c r="R29" s="249"/>
      <c r="S29" s="249"/>
      <c r="T29" s="249"/>
      <c r="U29" s="251"/>
      <c r="V29" s="252"/>
      <c r="W29" s="253"/>
      <c r="X29" s="254"/>
      <c r="Y29" s="252"/>
      <c r="Z29" s="255"/>
      <c r="AA29" s="249"/>
      <c r="AB29" s="249"/>
      <c r="AC29" s="249"/>
      <c r="AD29" s="249"/>
      <c r="AE29" s="249"/>
      <c r="AF29" s="240"/>
      <c r="AG29" s="241"/>
      <c r="AH29" s="242"/>
      <c r="AI29" s="240"/>
      <c r="AJ29" s="242"/>
      <c r="AK29" s="240"/>
      <c r="AL29" s="241"/>
      <c r="AM29" s="242"/>
      <c r="AN29" s="246"/>
      <c r="AO29" s="246"/>
      <c r="AP29" s="246"/>
      <c r="AQ29" s="246"/>
      <c r="AR29" s="246"/>
      <c r="AS29" s="246"/>
      <c r="AT29" s="246"/>
      <c r="AU29" s="246"/>
    </row>
    <row r="30" spans="1:47">
      <c r="A30" s="247"/>
      <c r="B30" s="248"/>
      <c r="C30" s="248"/>
      <c r="D30" s="248"/>
      <c r="E30" s="248"/>
      <c r="F30" s="248"/>
      <c r="G30" s="249"/>
      <c r="H30" s="249"/>
      <c r="I30" s="250"/>
      <c r="J30" s="251"/>
      <c r="K30" s="252"/>
      <c r="L30" s="252"/>
      <c r="M30" s="252"/>
      <c r="N30" s="252"/>
      <c r="O30" s="252"/>
      <c r="P30" s="252"/>
      <c r="Q30" s="253"/>
      <c r="R30" s="249"/>
      <c r="S30" s="249"/>
      <c r="T30" s="249"/>
      <c r="U30" s="251"/>
      <c r="V30" s="252"/>
      <c r="W30" s="253"/>
      <c r="X30" s="254"/>
      <c r="Y30" s="252"/>
      <c r="Z30" s="255"/>
      <c r="AA30" s="249"/>
      <c r="AB30" s="249"/>
      <c r="AC30" s="249"/>
      <c r="AD30" s="249"/>
      <c r="AE30" s="249"/>
      <c r="AF30" s="240"/>
      <c r="AG30" s="241"/>
      <c r="AH30" s="242"/>
      <c r="AI30" s="240"/>
      <c r="AJ30" s="242"/>
      <c r="AK30" s="240"/>
      <c r="AL30" s="241"/>
      <c r="AM30" s="242"/>
      <c r="AN30" s="246"/>
      <c r="AO30" s="246"/>
      <c r="AP30" s="246"/>
      <c r="AQ30" s="246"/>
      <c r="AR30" s="246"/>
      <c r="AS30" s="246"/>
      <c r="AT30" s="246"/>
      <c r="AU30" s="246"/>
    </row>
    <row r="31" spans="1:47">
      <c r="A31" s="247"/>
      <c r="B31" s="248"/>
      <c r="C31" s="248"/>
      <c r="D31" s="248"/>
      <c r="E31" s="248"/>
      <c r="F31" s="248"/>
      <c r="G31" s="249"/>
      <c r="H31" s="249"/>
      <c r="I31" s="250"/>
      <c r="J31" s="251"/>
      <c r="K31" s="252"/>
      <c r="L31" s="252"/>
      <c r="M31" s="252"/>
      <c r="N31" s="252"/>
      <c r="O31" s="252"/>
      <c r="P31" s="252"/>
      <c r="Q31" s="253"/>
      <c r="R31" s="249"/>
      <c r="S31" s="249"/>
      <c r="T31" s="249"/>
      <c r="U31" s="251"/>
      <c r="V31" s="252"/>
      <c r="W31" s="253"/>
      <c r="X31" s="254"/>
      <c r="Y31" s="252"/>
      <c r="Z31" s="255"/>
      <c r="AA31" s="249"/>
      <c r="AB31" s="249"/>
      <c r="AC31" s="249"/>
      <c r="AD31" s="249"/>
      <c r="AE31" s="249"/>
      <c r="AF31" s="240"/>
      <c r="AG31" s="241"/>
      <c r="AH31" s="242"/>
      <c r="AI31" s="240"/>
      <c r="AJ31" s="242"/>
      <c r="AK31" s="240"/>
      <c r="AL31" s="241"/>
      <c r="AM31" s="242"/>
      <c r="AN31" s="246"/>
      <c r="AO31" s="246"/>
      <c r="AP31" s="246"/>
      <c r="AQ31" s="246"/>
      <c r="AR31" s="246"/>
      <c r="AS31" s="246"/>
      <c r="AT31" s="246"/>
      <c r="AU31" s="246"/>
    </row>
    <row r="32" spans="1:47">
      <c r="A32" s="247"/>
      <c r="B32" s="248"/>
      <c r="C32" s="248"/>
      <c r="D32" s="248"/>
      <c r="E32" s="248"/>
      <c r="F32" s="248"/>
      <c r="G32" s="249"/>
      <c r="H32" s="249"/>
      <c r="I32" s="250"/>
      <c r="J32" s="251"/>
      <c r="K32" s="252"/>
      <c r="L32" s="252"/>
      <c r="M32" s="252"/>
      <c r="N32" s="252"/>
      <c r="O32" s="252"/>
      <c r="P32" s="252"/>
      <c r="Q32" s="253"/>
      <c r="R32" s="249"/>
      <c r="S32" s="249"/>
      <c r="T32" s="249"/>
      <c r="U32" s="251"/>
      <c r="V32" s="252"/>
      <c r="W32" s="253"/>
      <c r="X32" s="254"/>
      <c r="Y32" s="252"/>
      <c r="Z32" s="255"/>
      <c r="AA32" s="249"/>
      <c r="AB32" s="249"/>
      <c r="AC32" s="249"/>
      <c r="AD32" s="249"/>
      <c r="AE32" s="249"/>
      <c r="AF32" s="240"/>
      <c r="AG32" s="241"/>
      <c r="AH32" s="242"/>
      <c r="AI32" s="240"/>
      <c r="AJ32" s="242"/>
      <c r="AK32" s="240"/>
      <c r="AL32" s="241"/>
      <c r="AM32" s="242"/>
      <c r="AN32" s="246"/>
      <c r="AO32" s="246"/>
      <c r="AP32" s="246"/>
      <c r="AQ32" s="246"/>
      <c r="AR32" s="246"/>
      <c r="AS32" s="246"/>
      <c r="AT32" s="246"/>
      <c r="AU32" s="246"/>
    </row>
    <row r="33" spans="1:47">
      <c r="A33" s="247"/>
      <c r="B33" s="248"/>
      <c r="C33" s="248"/>
      <c r="D33" s="248"/>
      <c r="E33" s="248"/>
      <c r="F33" s="248"/>
      <c r="G33" s="249"/>
      <c r="H33" s="249"/>
      <c r="I33" s="250"/>
      <c r="J33" s="251"/>
      <c r="K33" s="252"/>
      <c r="L33" s="252"/>
      <c r="M33" s="252"/>
      <c r="N33" s="252"/>
      <c r="O33" s="252"/>
      <c r="P33" s="252"/>
      <c r="Q33" s="253"/>
      <c r="R33" s="249"/>
      <c r="S33" s="249"/>
      <c r="T33" s="249"/>
      <c r="U33" s="251"/>
      <c r="V33" s="252"/>
      <c r="W33" s="253"/>
      <c r="X33" s="254"/>
      <c r="Y33" s="252"/>
      <c r="Z33" s="255"/>
      <c r="AA33" s="249"/>
      <c r="AB33" s="249"/>
      <c r="AC33" s="249"/>
      <c r="AD33" s="249"/>
      <c r="AE33" s="249"/>
      <c r="AF33" s="240"/>
      <c r="AG33" s="241"/>
      <c r="AH33" s="242"/>
      <c r="AI33" s="240"/>
      <c r="AJ33" s="242"/>
      <c r="AK33" s="240"/>
      <c r="AL33" s="241"/>
      <c r="AM33" s="242"/>
      <c r="AN33" s="246"/>
      <c r="AO33" s="246"/>
      <c r="AP33" s="246"/>
      <c r="AQ33" s="246"/>
      <c r="AR33" s="246"/>
      <c r="AS33" s="246"/>
      <c r="AT33" s="246"/>
      <c r="AU33" s="246"/>
    </row>
    <row r="34" spans="1:47">
      <c r="A34" s="247"/>
      <c r="B34" s="248"/>
      <c r="C34" s="248"/>
      <c r="D34" s="248"/>
      <c r="E34" s="248"/>
      <c r="F34" s="248"/>
      <c r="G34" s="249"/>
      <c r="H34" s="249"/>
      <c r="I34" s="250"/>
      <c r="J34" s="251"/>
      <c r="K34" s="252"/>
      <c r="L34" s="252"/>
      <c r="M34" s="252"/>
      <c r="N34" s="252"/>
      <c r="O34" s="252"/>
      <c r="P34" s="252"/>
      <c r="Q34" s="253"/>
      <c r="R34" s="249"/>
      <c r="S34" s="249"/>
      <c r="T34" s="249"/>
      <c r="U34" s="251"/>
      <c r="V34" s="252"/>
      <c r="W34" s="253"/>
      <c r="X34" s="254"/>
      <c r="Y34" s="252"/>
      <c r="Z34" s="255"/>
      <c r="AA34" s="249"/>
      <c r="AB34" s="249"/>
      <c r="AC34" s="249"/>
      <c r="AD34" s="249"/>
      <c r="AE34" s="249"/>
      <c r="AF34" s="240"/>
      <c r="AG34" s="241"/>
      <c r="AH34" s="242"/>
      <c r="AI34" s="240"/>
      <c r="AJ34" s="242"/>
      <c r="AK34" s="240"/>
      <c r="AL34" s="241"/>
      <c r="AM34" s="242"/>
      <c r="AN34" s="246"/>
      <c r="AO34" s="246"/>
      <c r="AP34" s="246"/>
      <c r="AQ34" s="246"/>
      <c r="AR34" s="246"/>
      <c r="AS34" s="246"/>
      <c r="AT34" s="246"/>
      <c r="AU34" s="246"/>
    </row>
    <row r="35" spans="1:47">
      <c r="A35" s="247"/>
      <c r="B35" s="248"/>
      <c r="C35" s="248"/>
      <c r="D35" s="248"/>
      <c r="E35" s="248"/>
      <c r="F35" s="248"/>
      <c r="G35" s="249"/>
      <c r="H35" s="249"/>
      <c r="I35" s="250"/>
      <c r="J35" s="251"/>
      <c r="K35" s="252"/>
      <c r="L35" s="252"/>
      <c r="M35" s="252"/>
      <c r="N35" s="252"/>
      <c r="O35" s="252"/>
      <c r="P35" s="252"/>
      <c r="Q35" s="253"/>
      <c r="R35" s="249"/>
      <c r="S35" s="249"/>
      <c r="T35" s="249"/>
      <c r="U35" s="251"/>
      <c r="V35" s="252"/>
      <c r="W35" s="253"/>
      <c r="X35" s="254"/>
      <c r="Y35" s="252"/>
      <c r="Z35" s="255"/>
      <c r="AA35" s="249"/>
      <c r="AB35" s="249"/>
      <c r="AC35" s="249"/>
      <c r="AD35" s="249"/>
      <c r="AE35" s="249"/>
      <c r="AF35" s="240"/>
      <c r="AG35" s="241"/>
      <c r="AH35" s="242"/>
      <c r="AI35" s="240"/>
      <c r="AJ35" s="242"/>
      <c r="AK35" s="240"/>
      <c r="AL35" s="241"/>
      <c r="AM35" s="242"/>
      <c r="AN35" s="246"/>
      <c r="AO35" s="246"/>
      <c r="AP35" s="246"/>
      <c r="AQ35" s="246"/>
      <c r="AR35" s="246"/>
      <c r="AS35" s="246"/>
      <c r="AT35" s="246"/>
      <c r="AU35" s="246"/>
    </row>
    <row r="36" spans="1:47">
      <c r="A36" s="247"/>
      <c r="B36" s="248"/>
      <c r="C36" s="248"/>
      <c r="D36" s="248"/>
      <c r="E36" s="248"/>
      <c r="F36" s="248"/>
      <c r="G36" s="249"/>
      <c r="H36" s="249"/>
      <c r="I36" s="250"/>
      <c r="J36" s="251"/>
      <c r="K36" s="252"/>
      <c r="L36" s="252"/>
      <c r="M36" s="252"/>
      <c r="N36" s="252"/>
      <c r="O36" s="252"/>
      <c r="P36" s="252"/>
      <c r="Q36" s="253"/>
      <c r="R36" s="249"/>
      <c r="S36" s="249"/>
      <c r="T36" s="249"/>
      <c r="U36" s="251"/>
      <c r="V36" s="252"/>
      <c r="W36" s="253"/>
      <c r="X36" s="254"/>
      <c r="Y36" s="252"/>
      <c r="Z36" s="255"/>
      <c r="AA36" s="249"/>
      <c r="AB36" s="249"/>
      <c r="AC36" s="249"/>
      <c r="AD36" s="249"/>
      <c r="AE36" s="249"/>
      <c r="AF36" s="240"/>
      <c r="AG36" s="241"/>
      <c r="AH36" s="242"/>
      <c r="AI36" s="240"/>
      <c r="AJ36" s="242"/>
      <c r="AK36" s="240"/>
      <c r="AL36" s="241"/>
      <c r="AM36" s="242"/>
      <c r="AN36" s="246"/>
      <c r="AO36" s="246"/>
      <c r="AP36" s="246"/>
      <c r="AQ36" s="246"/>
      <c r="AR36" s="246"/>
      <c r="AS36" s="246"/>
      <c r="AT36" s="246"/>
      <c r="AU36" s="246"/>
    </row>
    <row r="37" spans="1:47">
      <c r="A37" s="247"/>
      <c r="B37" s="248"/>
      <c r="C37" s="248"/>
      <c r="D37" s="248"/>
      <c r="E37" s="248"/>
      <c r="F37" s="248"/>
      <c r="G37" s="249"/>
      <c r="H37" s="249"/>
      <c r="I37" s="250"/>
      <c r="J37" s="251"/>
      <c r="K37" s="252"/>
      <c r="L37" s="252"/>
      <c r="M37" s="252"/>
      <c r="N37" s="252"/>
      <c r="O37" s="252"/>
      <c r="P37" s="252"/>
      <c r="Q37" s="253"/>
      <c r="R37" s="249"/>
      <c r="S37" s="249"/>
      <c r="T37" s="249"/>
      <c r="U37" s="251"/>
      <c r="V37" s="252"/>
      <c r="W37" s="253"/>
      <c r="X37" s="254"/>
      <c r="Y37" s="252"/>
      <c r="Z37" s="255"/>
      <c r="AA37" s="249"/>
      <c r="AB37" s="249"/>
      <c r="AC37" s="249"/>
      <c r="AD37" s="249"/>
      <c r="AE37" s="249"/>
      <c r="AF37" s="240"/>
      <c r="AG37" s="241"/>
      <c r="AH37" s="242"/>
      <c r="AI37" s="240"/>
      <c r="AJ37" s="242"/>
      <c r="AK37" s="240"/>
      <c r="AL37" s="241"/>
      <c r="AM37" s="242"/>
      <c r="AN37" s="246"/>
      <c r="AO37" s="246"/>
      <c r="AP37" s="246"/>
      <c r="AQ37" s="246"/>
      <c r="AR37" s="246"/>
      <c r="AS37" s="246"/>
      <c r="AT37" s="246"/>
      <c r="AU37" s="246"/>
    </row>
    <row r="38" spans="1:47">
      <c r="A38" s="247"/>
      <c r="B38" s="248"/>
      <c r="C38" s="248"/>
      <c r="D38" s="248"/>
      <c r="E38" s="248"/>
      <c r="F38" s="248"/>
      <c r="G38" s="249"/>
      <c r="H38" s="249"/>
      <c r="I38" s="250"/>
      <c r="J38" s="251"/>
      <c r="K38" s="252"/>
      <c r="L38" s="252"/>
      <c r="M38" s="252"/>
      <c r="N38" s="252"/>
      <c r="O38" s="252"/>
      <c r="P38" s="252"/>
      <c r="Q38" s="253"/>
      <c r="R38" s="249"/>
      <c r="S38" s="249"/>
      <c r="T38" s="249"/>
      <c r="U38" s="251"/>
      <c r="V38" s="252"/>
      <c r="W38" s="253"/>
      <c r="X38" s="254"/>
      <c r="Y38" s="252"/>
      <c r="Z38" s="255"/>
      <c r="AA38" s="249"/>
      <c r="AB38" s="249"/>
      <c r="AC38" s="249"/>
      <c r="AD38" s="249"/>
      <c r="AE38" s="249"/>
      <c r="AF38" s="240"/>
      <c r="AG38" s="241"/>
      <c r="AH38" s="242"/>
      <c r="AI38" s="240"/>
      <c r="AJ38" s="242"/>
      <c r="AK38" s="240"/>
      <c r="AL38" s="241"/>
      <c r="AM38" s="242"/>
      <c r="AN38" s="246"/>
      <c r="AO38" s="246"/>
      <c r="AP38" s="246"/>
      <c r="AQ38" s="246"/>
      <c r="AR38" s="246"/>
      <c r="AS38" s="246"/>
      <c r="AT38" s="246"/>
      <c r="AU38" s="246"/>
    </row>
    <row r="39" spans="1:47">
      <c r="A39" s="247"/>
      <c r="B39" s="248"/>
      <c r="C39" s="248"/>
      <c r="D39" s="248"/>
      <c r="E39" s="248"/>
      <c r="F39" s="248"/>
      <c r="G39" s="249"/>
      <c r="H39" s="249"/>
      <c r="I39" s="250"/>
      <c r="J39" s="251"/>
      <c r="K39" s="252"/>
      <c r="L39" s="252"/>
      <c r="M39" s="252"/>
      <c r="N39" s="252"/>
      <c r="O39" s="252"/>
      <c r="P39" s="252"/>
      <c r="Q39" s="253"/>
      <c r="R39" s="249"/>
      <c r="S39" s="249"/>
      <c r="T39" s="249"/>
      <c r="U39" s="251"/>
      <c r="V39" s="252"/>
      <c r="W39" s="253"/>
      <c r="X39" s="254"/>
      <c r="Y39" s="252"/>
      <c r="Z39" s="255"/>
      <c r="AA39" s="249"/>
      <c r="AB39" s="249"/>
      <c r="AC39" s="249"/>
      <c r="AD39" s="249"/>
      <c r="AE39" s="249"/>
      <c r="AF39" s="240"/>
      <c r="AG39" s="241"/>
      <c r="AH39" s="242"/>
      <c r="AI39" s="240"/>
      <c r="AJ39" s="242"/>
      <c r="AK39" s="240"/>
      <c r="AL39" s="241"/>
      <c r="AM39" s="242"/>
      <c r="AN39" s="246"/>
      <c r="AO39" s="246"/>
      <c r="AP39" s="246"/>
      <c r="AQ39" s="246"/>
      <c r="AR39" s="246"/>
      <c r="AS39" s="246"/>
      <c r="AT39" s="246"/>
      <c r="AU39" s="246"/>
    </row>
    <row r="40" spans="1:47">
      <c r="A40" s="247"/>
      <c r="B40" s="248"/>
      <c r="C40" s="248"/>
      <c r="D40" s="248"/>
      <c r="E40" s="248"/>
      <c r="F40" s="248"/>
      <c r="G40" s="249"/>
      <c r="H40" s="249"/>
      <c r="I40" s="250"/>
      <c r="J40" s="251"/>
      <c r="K40" s="252"/>
      <c r="L40" s="252"/>
      <c r="M40" s="252"/>
      <c r="N40" s="252"/>
      <c r="O40" s="252"/>
      <c r="P40" s="252"/>
      <c r="Q40" s="253"/>
      <c r="R40" s="249"/>
      <c r="S40" s="249"/>
      <c r="T40" s="249"/>
      <c r="U40" s="251"/>
      <c r="V40" s="252"/>
      <c r="W40" s="253"/>
      <c r="X40" s="254"/>
      <c r="Y40" s="252"/>
      <c r="Z40" s="255"/>
      <c r="AA40" s="249"/>
      <c r="AB40" s="249"/>
      <c r="AC40" s="249"/>
      <c r="AD40" s="249"/>
      <c r="AE40" s="249"/>
      <c r="AF40" s="240"/>
      <c r="AG40" s="241"/>
      <c r="AH40" s="242"/>
      <c r="AI40" s="240"/>
      <c r="AJ40" s="242"/>
      <c r="AK40" s="240"/>
      <c r="AL40" s="241"/>
      <c r="AM40" s="242"/>
      <c r="AN40" s="246"/>
      <c r="AO40" s="246"/>
      <c r="AP40" s="246"/>
      <c r="AQ40" s="246"/>
      <c r="AR40" s="246"/>
      <c r="AS40" s="246"/>
      <c r="AT40" s="246"/>
      <c r="AU40" s="246"/>
    </row>
    <row r="41" spans="1:47">
      <c r="A41" s="247"/>
      <c r="B41" s="248"/>
      <c r="C41" s="248"/>
      <c r="D41" s="248"/>
      <c r="E41" s="248"/>
      <c r="F41" s="248"/>
      <c r="G41" s="249"/>
      <c r="H41" s="249"/>
      <c r="I41" s="250"/>
      <c r="J41" s="251"/>
      <c r="K41" s="252"/>
      <c r="L41" s="252"/>
      <c r="M41" s="252"/>
      <c r="N41" s="252"/>
      <c r="O41" s="252"/>
      <c r="P41" s="252"/>
      <c r="Q41" s="253"/>
      <c r="R41" s="249"/>
      <c r="S41" s="249"/>
      <c r="T41" s="249"/>
      <c r="U41" s="251"/>
      <c r="V41" s="252"/>
      <c r="W41" s="253"/>
      <c r="X41" s="254"/>
      <c r="Y41" s="252"/>
      <c r="Z41" s="255"/>
      <c r="AA41" s="249"/>
      <c r="AB41" s="249"/>
      <c r="AC41" s="249"/>
      <c r="AD41" s="249"/>
      <c r="AE41" s="249"/>
      <c r="AF41" s="240"/>
      <c r="AG41" s="241"/>
      <c r="AH41" s="242"/>
      <c r="AI41" s="240"/>
      <c r="AJ41" s="242"/>
      <c r="AK41" s="240"/>
      <c r="AL41" s="241"/>
      <c r="AM41" s="242"/>
      <c r="AN41" s="246"/>
      <c r="AO41" s="246"/>
      <c r="AP41" s="246"/>
      <c r="AQ41" s="246"/>
      <c r="AR41" s="246"/>
      <c r="AS41" s="246"/>
      <c r="AT41" s="246"/>
      <c r="AU41" s="246"/>
    </row>
    <row r="42" spans="1:47">
      <c r="A42" s="256"/>
      <c r="B42" s="257"/>
      <c r="C42" s="257"/>
      <c r="D42" s="257"/>
      <c r="E42" s="257"/>
      <c r="F42" s="257"/>
      <c r="G42" s="258"/>
      <c r="H42" s="258"/>
      <c r="I42" s="259"/>
      <c r="J42" s="260"/>
      <c r="K42" s="261"/>
      <c r="L42" s="261"/>
      <c r="M42" s="261"/>
      <c r="N42" s="261"/>
      <c r="O42" s="261"/>
      <c r="P42" s="261"/>
      <c r="Q42" s="262"/>
      <c r="R42" s="263"/>
      <c r="S42" s="258"/>
      <c r="T42" s="258"/>
      <c r="U42" s="260"/>
      <c r="V42" s="261"/>
      <c r="W42" s="262"/>
      <c r="X42" s="264"/>
      <c r="Y42" s="261"/>
      <c r="Z42" s="265"/>
      <c r="AA42" s="258"/>
      <c r="AB42" s="258"/>
      <c r="AC42" s="258"/>
      <c r="AD42" s="258"/>
      <c r="AE42" s="258"/>
      <c r="AF42" s="266"/>
      <c r="AG42" s="267"/>
      <c r="AH42" s="268"/>
      <c r="AI42" s="266"/>
      <c r="AJ42" s="268"/>
      <c r="AK42" s="266"/>
      <c r="AL42" s="267"/>
      <c r="AM42" s="268"/>
      <c r="AN42" s="297"/>
      <c r="AO42" s="297"/>
      <c r="AP42" s="297"/>
      <c r="AQ42" s="297"/>
      <c r="AR42" s="297"/>
      <c r="AS42" s="297"/>
      <c r="AT42" s="297"/>
      <c r="AU42" s="297"/>
    </row>
    <row r="43" spans="1:47">
      <c r="A43" s="247"/>
      <c r="B43" s="248"/>
      <c r="C43" s="248"/>
      <c r="D43" s="248"/>
      <c r="E43" s="248"/>
      <c r="F43" s="248"/>
      <c r="G43" s="249"/>
      <c r="H43" s="249"/>
      <c r="I43" s="250"/>
      <c r="J43" s="251"/>
      <c r="K43" s="252"/>
      <c r="L43" s="252"/>
      <c r="M43" s="252"/>
      <c r="N43" s="252"/>
      <c r="O43" s="252"/>
      <c r="P43" s="252"/>
      <c r="Q43" s="253"/>
      <c r="R43" s="249"/>
      <c r="S43" s="249"/>
      <c r="T43" s="249"/>
      <c r="U43" s="251"/>
      <c r="V43" s="252"/>
      <c r="W43" s="253"/>
      <c r="X43" s="254"/>
      <c r="Y43" s="252"/>
      <c r="Z43" s="255"/>
      <c r="AA43" s="249"/>
      <c r="AB43" s="249"/>
      <c r="AC43" s="249"/>
      <c r="AD43" s="249"/>
      <c r="AE43" s="249"/>
      <c r="AF43" s="240"/>
      <c r="AG43" s="241"/>
      <c r="AH43" s="242"/>
      <c r="AI43" s="240"/>
      <c r="AJ43" s="242"/>
      <c r="AK43" s="240"/>
      <c r="AL43" s="241"/>
      <c r="AM43" s="242"/>
      <c r="AN43" s="246"/>
      <c r="AO43" s="246"/>
      <c r="AP43" s="246"/>
      <c r="AQ43" s="246"/>
      <c r="AR43" s="246"/>
      <c r="AS43" s="246"/>
      <c r="AT43" s="246"/>
      <c r="AU43" s="246"/>
    </row>
    <row r="44" spans="1:47">
      <c r="A44" s="247"/>
      <c r="B44" s="248"/>
      <c r="C44" s="248"/>
      <c r="D44" s="248"/>
      <c r="E44" s="248"/>
      <c r="F44" s="248"/>
      <c r="G44" s="249"/>
      <c r="H44" s="249"/>
      <c r="I44" s="250"/>
      <c r="J44" s="251"/>
      <c r="K44" s="252"/>
      <c r="L44" s="252"/>
      <c r="M44" s="252"/>
      <c r="N44" s="252"/>
      <c r="O44" s="252"/>
      <c r="P44" s="252"/>
      <c r="Q44" s="253"/>
      <c r="R44" s="249"/>
      <c r="S44" s="249"/>
      <c r="T44" s="249"/>
      <c r="U44" s="251"/>
      <c r="V44" s="252"/>
      <c r="W44" s="253"/>
      <c r="X44" s="254"/>
      <c r="Y44" s="252"/>
      <c r="Z44" s="255"/>
      <c r="AA44" s="249"/>
      <c r="AB44" s="249"/>
      <c r="AC44" s="249"/>
      <c r="AD44" s="249"/>
      <c r="AE44" s="249"/>
      <c r="AF44" s="240"/>
      <c r="AG44" s="241"/>
      <c r="AH44" s="242"/>
      <c r="AI44" s="240"/>
      <c r="AJ44" s="242"/>
      <c r="AK44" s="240"/>
      <c r="AL44" s="241"/>
      <c r="AM44" s="242"/>
      <c r="AN44" s="246"/>
      <c r="AO44" s="246"/>
      <c r="AP44" s="246"/>
      <c r="AQ44" s="246"/>
      <c r="AR44" s="246"/>
      <c r="AS44" s="246"/>
      <c r="AT44" s="246"/>
      <c r="AU44" s="246"/>
    </row>
    <row r="45" spans="1:47">
      <c r="A45" s="247"/>
      <c r="B45" s="248"/>
      <c r="C45" s="248"/>
      <c r="D45" s="248"/>
      <c r="E45" s="248"/>
      <c r="F45" s="248"/>
      <c r="G45" s="249"/>
      <c r="H45" s="249"/>
      <c r="I45" s="250"/>
      <c r="J45" s="251"/>
      <c r="K45" s="252"/>
      <c r="L45" s="252"/>
      <c r="M45" s="252"/>
      <c r="N45" s="252"/>
      <c r="O45" s="252"/>
      <c r="P45" s="252"/>
      <c r="Q45" s="253"/>
      <c r="R45" s="249"/>
      <c r="S45" s="249"/>
      <c r="T45" s="249"/>
      <c r="U45" s="251"/>
      <c r="V45" s="252"/>
      <c r="W45" s="253"/>
      <c r="X45" s="254"/>
      <c r="Y45" s="252"/>
      <c r="Z45" s="255"/>
      <c r="AA45" s="249"/>
      <c r="AB45" s="249"/>
      <c r="AC45" s="249"/>
      <c r="AD45" s="249"/>
      <c r="AE45" s="249"/>
      <c r="AF45" s="240"/>
      <c r="AG45" s="241"/>
      <c r="AH45" s="242"/>
      <c r="AI45" s="240"/>
      <c r="AJ45" s="242"/>
      <c r="AK45" s="240"/>
      <c r="AL45" s="241"/>
      <c r="AM45" s="242"/>
      <c r="AN45" s="246"/>
      <c r="AO45" s="246"/>
      <c r="AP45" s="246"/>
      <c r="AQ45" s="246"/>
      <c r="AR45" s="246"/>
      <c r="AS45" s="246"/>
      <c r="AT45" s="246"/>
      <c r="AU45" s="246"/>
    </row>
    <row r="46" spans="1:47">
      <c r="A46" s="247"/>
      <c r="B46" s="248"/>
      <c r="C46" s="248"/>
      <c r="D46" s="248"/>
      <c r="E46" s="248"/>
      <c r="F46" s="248"/>
      <c r="G46" s="249"/>
      <c r="H46" s="249"/>
      <c r="I46" s="250"/>
      <c r="J46" s="251"/>
      <c r="K46" s="252"/>
      <c r="L46" s="252"/>
      <c r="M46" s="252"/>
      <c r="N46" s="252"/>
      <c r="O46" s="252"/>
      <c r="P46" s="252"/>
      <c r="Q46" s="253"/>
      <c r="R46" s="249"/>
      <c r="S46" s="249"/>
      <c r="T46" s="249"/>
      <c r="U46" s="251"/>
      <c r="V46" s="252"/>
      <c r="W46" s="253"/>
      <c r="X46" s="254"/>
      <c r="Y46" s="252"/>
      <c r="Z46" s="255"/>
      <c r="AA46" s="249"/>
      <c r="AB46" s="249"/>
      <c r="AC46" s="249"/>
      <c r="AD46" s="249"/>
      <c r="AE46" s="249"/>
      <c r="AF46" s="240"/>
      <c r="AG46" s="241"/>
      <c r="AH46" s="242"/>
      <c r="AI46" s="240"/>
      <c r="AJ46" s="242"/>
      <c r="AK46" s="240"/>
      <c r="AL46" s="241"/>
      <c r="AM46" s="242"/>
      <c r="AN46" s="246"/>
      <c r="AO46" s="246"/>
      <c r="AP46" s="246"/>
      <c r="AQ46" s="246"/>
      <c r="AR46" s="246"/>
      <c r="AS46" s="246"/>
      <c r="AT46" s="246"/>
      <c r="AU46" s="246"/>
    </row>
    <row r="47" spans="1:47">
      <c r="A47" s="247"/>
      <c r="B47" s="248"/>
      <c r="C47" s="248"/>
      <c r="D47" s="248"/>
      <c r="E47" s="248"/>
      <c r="F47" s="248"/>
      <c r="G47" s="249"/>
      <c r="H47" s="249"/>
      <c r="I47" s="250"/>
      <c r="J47" s="251"/>
      <c r="K47" s="252"/>
      <c r="L47" s="252"/>
      <c r="M47" s="252"/>
      <c r="N47" s="252"/>
      <c r="O47" s="252"/>
      <c r="P47" s="252"/>
      <c r="Q47" s="253"/>
      <c r="R47" s="249"/>
      <c r="S47" s="249"/>
      <c r="T47" s="249"/>
      <c r="U47" s="251"/>
      <c r="V47" s="252"/>
      <c r="W47" s="253"/>
      <c r="X47" s="254"/>
      <c r="Y47" s="252"/>
      <c r="Z47" s="255"/>
      <c r="AA47" s="249"/>
      <c r="AB47" s="249"/>
      <c r="AC47" s="249"/>
      <c r="AD47" s="249"/>
      <c r="AE47" s="249"/>
      <c r="AF47" s="240"/>
      <c r="AG47" s="241"/>
      <c r="AH47" s="242"/>
      <c r="AI47" s="240"/>
      <c r="AJ47" s="242"/>
      <c r="AK47" s="240"/>
      <c r="AL47" s="241"/>
      <c r="AM47" s="242"/>
      <c r="AN47" s="246"/>
      <c r="AO47" s="246"/>
      <c r="AP47" s="246"/>
      <c r="AQ47" s="246"/>
      <c r="AR47" s="246"/>
      <c r="AS47" s="246"/>
      <c r="AT47" s="246"/>
      <c r="AU47" s="246"/>
    </row>
    <row r="48" spans="1:47">
      <c r="A48" s="247"/>
      <c r="B48" s="248"/>
      <c r="C48" s="248"/>
      <c r="D48" s="248"/>
      <c r="E48" s="248"/>
      <c r="F48" s="248"/>
      <c r="G48" s="249"/>
      <c r="H48" s="249"/>
      <c r="I48" s="250"/>
      <c r="J48" s="251"/>
      <c r="K48" s="252"/>
      <c r="L48" s="252"/>
      <c r="M48" s="252"/>
      <c r="N48" s="252"/>
      <c r="O48" s="252"/>
      <c r="P48" s="252"/>
      <c r="Q48" s="253"/>
      <c r="R48" s="249"/>
      <c r="S48" s="249"/>
      <c r="T48" s="249"/>
      <c r="U48" s="251"/>
      <c r="V48" s="252"/>
      <c r="W48" s="253"/>
      <c r="X48" s="254"/>
      <c r="Y48" s="252"/>
      <c r="Z48" s="255"/>
      <c r="AA48" s="249"/>
      <c r="AB48" s="249"/>
      <c r="AC48" s="249"/>
      <c r="AD48" s="249"/>
      <c r="AE48" s="249"/>
      <c r="AF48" s="240"/>
      <c r="AG48" s="241"/>
      <c r="AH48" s="242"/>
      <c r="AI48" s="240"/>
      <c r="AJ48" s="242"/>
      <c r="AK48" s="240"/>
      <c r="AL48" s="241"/>
      <c r="AM48" s="242"/>
      <c r="AN48" s="246"/>
      <c r="AO48" s="246"/>
      <c r="AP48" s="246"/>
      <c r="AQ48" s="246"/>
      <c r="AR48" s="246"/>
      <c r="AS48" s="246"/>
      <c r="AT48" s="246"/>
      <c r="AU48" s="246"/>
    </row>
    <row r="49" spans="1:47">
      <c r="A49" s="247"/>
      <c r="B49" s="248"/>
      <c r="C49" s="248"/>
      <c r="D49" s="248"/>
      <c r="E49" s="248"/>
      <c r="F49" s="248"/>
      <c r="G49" s="249"/>
      <c r="H49" s="249"/>
      <c r="I49" s="250"/>
      <c r="J49" s="251"/>
      <c r="K49" s="252"/>
      <c r="L49" s="252"/>
      <c r="M49" s="252"/>
      <c r="N49" s="252"/>
      <c r="O49" s="252"/>
      <c r="P49" s="252"/>
      <c r="Q49" s="253"/>
      <c r="R49" s="249"/>
      <c r="S49" s="249"/>
      <c r="T49" s="249"/>
      <c r="U49" s="251"/>
      <c r="V49" s="252"/>
      <c r="W49" s="253"/>
      <c r="X49" s="254"/>
      <c r="Y49" s="252"/>
      <c r="Z49" s="255"/>
      <c r="AA49" s="249"/>
      <c r="AB49" s="249"/>
      <c r="AC49" s="249"/>
      <c r="AD49" s="249"/>
      <c r="AE49" s="249"/>
      <c r="AF49" s="240"/>
      <c r="AG49" s="241"/>
      <c r="AH49" s="242"/>
      <c r="AI49" s="240"/>
      <c r="AJ49" s="242"/>
      <c r="AK49" s="240"/>
      <c r="AL49" s="241"/>
      <c r="AM49" s="242"/>
      <c r="AN49" s="246"/>
      <c r="AO49" s="246"/>
      <c r="AP49" s="246"/>
      <c r="AQ49" s="246"/>
      <c r="AR49" s="246"/>
      <c r="AS49" s="246"/>
      <c r="AT49" s="246"/>
      <c r="AU49" s="246"/>
    </row>
    <row r="50" spans="1:47">
      <c r="A50" s="247"/>
      <c r="B50" s="248"/>
      <c r="C50" s="248"/>
      <c r="D50" s="248"/>
      <c r="E50" s="248"/>
      <c r="F50" s="248"/>
      <c r="G50" s="249"/>
      <c r="H50" s="249"/>
      <c r="I50" s="250"/>
      <c r="J50" s="251"/>
      <c r="K50" s="252"/>
      <c r="L50" s="252"/>
      <c r="M50" s="252"/>
      <c r="N50" s="252"/>
      <c r="O50" s="252"/>
      <c r="P50" s="252"/>
      <c r="Q50" s="253"/>
      <c r="R50" s="249"/>
      <c r="S50" s="249"/>
      <c r="T50" s="249"/>
      <c r="U50" s="251"/>
      <c r="V50" s="252"/>
      <c r="W50" s="253"/>
      <c r="X50" s="254"/>
      <c r="Y50" s="252"/>
      <c r="Z50" s="255"/>
      <c r="AA50" s="249"/>
      <c r="AB50" s="249"/>
      <c r="AC50" s="249"/>
      <c r="AD50" s="249"/>
      <c r="AE50" s="249"/>
      <c r="AF50" s="240"/>
      <c r="AG50" s="241"/>
      <c r="AH50" s="242"/>
      <c r="AI50" s="240"/>
      <c r="AJ50" s="242"/>
      <c r="AK50" s="240"/>
      <c r="AL50" s="241"/>
      <c r="AM50" s="242"/>
      <c r="AN50" s="246"/>
      <c r="AO50" s="246"/>
      <c r="AP50" s="246"/>
      <c r="AQ50" s="246"/>
      <c r="AR50" s="246"/>
      <c r="AS50" s="246"/>
      <c r="AT50" s="246"/>
      <c r="AU50" s="246"/>
    </row>
    <row r="51" spans="1:47">
      <c r="A51" s="247"/>
      <c r="B51" s="248"/>
      <c r="C51" s="248"/>
      <c r="D51" s="248"/>
      <c r="E51" s="248"/>
      <c r="F51" s="248"/>
      <c r="G51" s="249"/>
      <c r="H51" s="249"/>
      <c r="I51" s="250"/>
      <c r="J51" s="251"/>
      <c r="K51" s="252"/>
      <c r="L51" s="252"/>
      <c r="M51" s="252"/>
      <c r="N51" s="252"/>
      <c r="O51" s="252"/>
      <c r="P51" s="252"/>
      <c r="Q51" s="253"/>
      <c r="R51" s="249"/>
      <c r="S51" s="249"/>
      <c r="T51" s="249"/>
      <c r="U51" s="251"/>
      <c r="V51" s="252"/>
      <c r="W51" s="253"/>
      <c r="X51" s="254"/>
      <c r="Y51" s="252"/>
      <c r="Z51" s="255"/>
      <c r="AA51" s="249"/>
      <c r="AB51" s="249"/>
      <c r="AC51" s="249"/>
      <c r="AD51" s="249"/>
      <c r="AE51" s="249"/>
      <c r="AF51" s="240"/>
      <c r="AG51" s="241"/>
      <c r="AH51" s="242"/>
      <c r="AI51" s="240"/>
      <c r="AJ51" s="242"/>
      <c r="AK51" s="240"/>
      <c r="AL51" s="241"/>
      <c r="AM51" s="242"/>
      <c r="AN51" s="246"/>
      <c r="AO51" s="246"/>
      <c r="AP51" s="246"/>
      <c r="AQ51" s="246"/>
      <c r="AR51" s="246"/>
      <c r="AS51" s="246"/>
      <c r="AT51" s="246"/>
      <c r="AU51" s="246"/>
    </row>
    <row r="52" spans="1:47">
      <c r="A52" s="247"/>
      <c r="B52" s="248"/>
      <c r="C52" s="248"/>
      <c r="D52" s="248"/>
      <c r="E52" s="248"/>
      <c r="F52" s="248"/>
      <c r="G52" s="249"/>
      <c r="H52" s="249"/>
      <c r="I52" s="250"/>
      <c r="J52" s="251"/>
      <c r="K52" s="252"/>
      <c r="L52" s="252"/>
      <c r="M52" s="252"/>
      <c r="N52" s="252"/>
      <c r="O52" s="252"/>
      <c r="P52" s="252"/>
      <c r="Q52" s="253"/>
      <c r="R52" s="249"/>
      <c r="S52" s="249"/>
      <c r="T52" s="249"/>
      <c r="U52" s="251"/>
      <c r="V52" s="252"/>
      <c r="W52" s="253"/>
      <c r="X52" s="254"/>
      <c r="Y52" s="252"/>
      <c r="Z52" s="255"/>
      <c r="AA52" s="249"/>
      <c r="AB52" s="249"/>
      <c r="AC52" s="249"/>
      <c r="AD52" s="249"/>
      <c r="AE52" s="249"/>
      <c r="AF52" s="240"/>
      <c r="AG52" s="241"/>
      <c r="AH52" s="242"/>
      <c r="AI52" s="240"/>
      <c r="AJ52" s="242"/>
      <c r="AK52" s="240"/>
      <c r="AL52" s="241"/>
      <c r="AM52" s="242"/>
      <c r="AN52" s="246"/>
      <c r="AO52" s="246"/>
      <c r="AP52" s="246"/>
      <c r="AQ52" s="246"/>
      <c r="AR52" s="246"/>
      <c r="AS52" s="246"/>
      <c r="AT52" s="246"/>
      <c r="AU52" s="246"/>
    </row>
    <row r="53" spans="1:47">
      <c r="A53" s="247"/>
      <c r="B53" s="248"/>
      <c r="C53" s="248"/>
      <c r="D53" s="248"/>
      <c r="E53" s="248"/>
      <c r="F53" s="248"/>
      <c r="G53" s="249"/>
      <c r="H53" s="249"/>
      <c r="I53" s="250"/>
      <c r="J53" s="251"/>
      <c r="K53" s="252"/>
      <c r="L53" s="252"/>
      <c r="M53" s="252"/>
      <c r="N53" s="252"/>
      <c r="O53" s="252"/>
      <c r="P53" s="252"/>
      <c r="Q53" s="253"/>
      <c r="R53" s="249"/>
      <c r="S53" s="249"/>
      <c r="T53" s="249"/>
      <c r="U53" s="251"/>
      <c r="V53" s="252"/>
      <c r="W53" s="253"/>
      <c r="X53" s="254"/>
      <c r="Y53" s="252"/>
      <c r="Z53" s="255"/>
      <c r="AA53" s="249"/>
      <c r="AB53" s="249"/>
      <c r="AC53" s="249"/>
      <c r="AD53" s="249"/>
      <c r="AE53" s="249"/>
      <c r="AF53" s="240"/>
      <c r="AG53" s="241"/>
      <c r="AH53" s="242"/>
      <c r="AI53" s="240"/>
      <c r="AJ53" s="242"/>
      <c r="AK53" s="240"/>
      <c r="AL53" s="241"/>
      <c r="AM53" s="242"/>
      <c r="AN53" s="246"/>
      <c r="AO53" s="246"/>
      <c r="AP53" s="246"/>
      <c r="AQ53" s="246"/>
      <c r="AR53" s="246"/>
      <c r="AS53" s="246"/>
      <c r="AT53" s="246"/>
      <c r="AU53" s="246"/>
    </row>
    <row r="54" spans="1:47">
      <c r="A54" s="247"/>
      <c r="B54" s="248"/>
      <c r="C54" s="248"/>
      <c r="D54" s="248"/>
      <c r="E54" s="248"/>
      <c r="F54" s="248"/>
      <c r="G54" s="249"/>
      <c r="H54" s="249"/>
      <c r="I54" s="250"/>
      <c r="J54" s="251"/>
      <c r="K54" s="252"/>
      <c r="L54" s="252"/>
      <c r="M54" s="252"/>
      <c r="N54" s="252"/>
      <c r="O54" s="252"/>
      <c r="P54" s="252"/>
      <c r="Q54" s="253"/>
      <c r="R54" s="249"/>
      <c r="S54" s="249"/>
      <c r="T54" s="249"/>
      <c r="U54" s="251"/>
      <c r="V54" s="252"/>
      <c r="W54" s="253"/>
      <c r="X54" s="254"/>
      <c r="Y54" s="252"/>
      <c r="Z54" s="255"/>
      <c r="AA54" s="249"/>
      <c r="AB54" s="249"/>
      <c r="AC54" s="249"/>
      <c r="AD54" s="249"/>
      <c r="AE54" s="249"/>
      <c r="AF54" s="240"/>
      <c r="AG54" s="241"/>
      <c r="AH54" s="242"/>
      <c r="AI54" s="240"/>
      <c r="AJ54" s="242"/>
      <c r="AK54" s="240"/>
      <c r="AL54" s="241"/>
      <c r="AM54" s="242"/>
      <c r="AN54" s="246"/>
      <c r="AO54" s="246"/>
      <c r="AP54" s="246"/>
      <c r="AQ54" s="246"/>
      <c r="AR54" s="246"/>
      <c r="AS54" s="246"/>
      <c r="AT54" s="246"/>
      <c r="AU54" s="246"/>
    </row>
    <row r="55" spans="1:47">
      <c r="A55" s="247"/>
      <c r="B55" s="248"/>
      <c r="C55" s="248"/>
      <c r="D55" s="248"/>
      <c r="E55" s="248"/>
      <c r="F55" s="248"/>
      <c r="G55" s="249"/>
      <c r="H55" s="249"/>
      <c r="I55" s="250"/>
      <c r="J55" s="251"/>
      <c r="K55" s="252"/>
      <c r="L55" s="252"/>
      <c r="M55" s="252"/>
      <c r="N55" s="252"/>
      <c r="O55" s="252"/>
      <c r="P55" s="252"/>
      <c r="Q55" s="253"/>
      <c r="R55" s="249"/>
      <c r="S55" s="249"/>
      <c r="T55" s="249"/>
      <c r="U55" s="251"/>
      <c r="V55" s="252"/>
      <c r="W55" s="253"/>
      <c r="X55" s="254"/>
      <c r="Y55" s="252"/>
      <c r="Z55" s="255"/>
      <c r="AA55" s="249"/>
      <c r="AB55" s="249"/>
      <c r="AC55" s="249"/>
      <c r="AD55" s="249"/>
      <c r="AE55" s="249"/>
      <c r="AF55" s="240"/>
      <c r="AG55" s="241"/>
      <c r="AH55" s="242"/>
      <c r="AI55" s="240"/>
      <c r="AJ55" s="242"/>
      <c r="AK55" s="240"/>
      <c r="AL55" s="241"/>
      <c r="AM55" s="242"/>
      <c r="AN55" s="246"/>
      <c r="AO55" s="246"/>
      <c r="AP55" s="246"/>
      <c r="AQ55" s="246"/>
      <c r="AR55" s="246"/>
      <c r="AS55" s="246"/>
      <c r="AT55" s="246"/>
      <c r="AU55" s="246"/>
    </row>
    <row r="56" spans="1:47">
      <c r="A56" s="247"/>
      <c r="B56" s="248"/>
      <c r="C56" s="248"/>
      <c r="D56" s="248"/>
      <c r="E56" s="248"/>
      <c r="F56" s="248"/>
      <c r="G56" s="249"/>
      <c r="H56" s="249"/>
      <c r="I56" s="250"/>
      <c r="J56" s="251"/>
      <c r="K56" s="252"/>
      <c r="L56" s="252"/>
      <c r="M56" s="252"/>
      <c r="N56" s="252"/>
      <c r="O56" s="252"/>
      <c r="P56" s="252"/>
      <c r="Q56" s="253"/>
      <c r="R56" s="249"/>
      <c r="S56" s="249"/>
      <c r="T56" s="249"/>
      <c r="U56" s="251"/>
      <c r="V56" s="252"/>
      <c r="W56" s="253"/>
      <c r="X56" s="254"/>
      <c r="Y56" s="252"/>
      <c r="Z56" s="255"/>
      <c r="AA56" s="249"/>
      <c r="AB56" s="249"/>
      <c r="AC56" s="249"/>
      <c r="AD56" s="249"/>
      <c r="AE56" s="249"/>
      <c r="AF56" s="240"/>
      <c r="AG56" s="241"/>
      <c r="AH56" s="242"/>
      <c r="AI56" s="240"/>
      <c r="AJ56" s="242"/>
      <c r="AK56" s="240"/>
      <c r="AL56" s="241"/>
      <c r="AM56" s="242"/>
      <c r="AN56" s="246"/>
      <c r="AO56" s="246"/>
      <c r="AP56" s="246"/>
      <c r="AQ56" s="246"/>
      <c r="AR56" s="246"/>
      <c r="AS56" s="246"/>
      <c r="AT56" s="246"/>
      <c r="AU56" s="246"/>
    </row>
    <row r="57" spans="1:47">
      <c r="A57" s="247"/>
      <c r="B57" s="248"/>
      <c r="C57" s="248"/>
      <c r="D57" s="248"/>
      <c r="E57" s="248"/>
      <c r="F57" s="248"/>
      <c r="G57" s="249"/>
      <c r="H57" s="249"/>
      <c r="I57" s="250"/>
      <c r="J57" s="251"/>
      <c r="K57" s="252"/>
      <c r="L57" s="252"/>
      <c r="M57" s="252"/>
      <c r="N57" s="252"/>
      <c r="O57" s="252"/>
      <c r="P57" s="252"/>
      <c r="Q57" s="253"/>
      <c r="R57" s="249"/>
      <c r="S57" s="249"/>
      <c r="T57" s="249"/>
      <c r="U57" s="251"/>
      <c r="V57" s="252"/>
      <c r="W57" s="253"/>
      <c r="X57" s="254"/>
      <c r="Y57" s="252"/>
      <c r="Z57" s="255"/>
      <c r="AA57" s="249"/>
      <c r="AB57" s="249"/>
      <c r="AC57" s="249"/>
      <c r="AD57" s="249"/>
      <c r="AE57" s="249"/>
      <c r="AF57" s="240"/>
      <c r="AG57" s="241"/>
      <c r="AH57" s="242"/>
      <c r="AI57" s="240"/>
      <c r="AJ57" s="242"/>
      <c r="AK57" s="240"/>
      <c r="AL57" s="241"/>
      <c r="AM57" s="242"/>
      <c r="AN57" s="246"/>
      <c r="AO57" s="246"/>
      <c r="AP57" s="246"/>
      <c r="AQ57" s="246"/>
      <c r="AR57" s="246"/>
      <c r="AS57" s="246"/>
      <c r="AT57" s="246"/>
      <c r="AU57" s="246"/>
    </row>
    <row r="58" spans="1:47">
      <c r="A58" s="247"/>
      <c r="B58" s="248"/>
      <c r="C58" s="248"/>
      <c r="D58" s="248"/>
      <c r="E58" s="248"/>
      <c r="F58" s="248"/>
      <c r="G58" s="249"/>
      <c r="H58" s="249"/>
      <c r="I58" s="250"/>
      <c r="J58" s="251"/>
      <c r="K58" s="252"/>
      <c r="L58" s="252"/>
      <c r="M58" s="252"/>
      <c r="N58" s="252"/>
      <c r="O58" s="252"/>
      <c r="P58" s="252"/>
      <c r="Q58" s="253"/>
      <c r="R58" s="249"/>
      <c r="S58" s="249"/>
      <c r="T58" s="249"/>
      <c r="U58" s="251"/>
      <c r="V58" s="252"/>
      <c r="W58" s="253"/>
      <c r="X58" s="254"/>
      <c r="Y58" s="252"/>
      <c r="Z58" s="255"/>
      <c r="AA58" s="249"/>
      <c r="AB58" s="249"/>
      <c r="AC58" s="249"/>
      <c r="AD58" s="249"/>
      <c r="AE58" s="249"/>
      <c r="AF58" s="240"/>
      <c r="AG58" s="241"/>
      <c r="AH58" s="242"/>
      <c r="AI58" s="240"/>
      <c r="AJ58" s="242"/>
      <c r="AK58" s="240"/>
      <c r="AL58" s="241"/>
      <c r="AM58" s="242"/>
      <c r="AN58" s="246"/>
      <c r="AO58" s="246"/>
      <c r="AP58" s="246"/>
      <c r="AQ58" s="246"/>
      <c r="AR58" s="246"/>
      <c r="AS58" s="246"/>
      <c r="AT58" s="246"/>
      <c r="AU58" s="246"/>
    </row>
    <row r="59" spans="1:47">
      <c r="A59" s="247"/>
      <c r="B59" s="248"/>
      <c r="C59" s="248"/>
      <c r="D59" s="248"/>
      <c r="E59" s="248"/>
      <c r="F59" s="248"/>
      <c r="G59" s="249"/>
      <c r="H59" s="249"/>
      <c r="I59" s="250"/>
      <c r="J59" s="251"/>
      <c r="K59" s="252"/>
      <c r="L59" s="252"/>
      <c r="M59" s="252"/>
      <c r="N59" s="252"/>
      <c r="O59" s="252"/>
      <c r="P59" s="252"/>
      <c r="Q59" s="253"/>
      <c r="R59" s="249"/>
      <c r="S59" s="249"/>
      <c r="T59" s="249"/>
      <c r="U59" s="251"/>
      <c r="V59" s="252"/>
      <c r="W59" s="253"/>
      <c r="X59" s="254"/>
      <c r="Y59" s="252"/>
      <c r="Z59" s="255"/>
      <c r="AA59" s="249"/>
      <c r="AB59" s="249"/>
      <c r="AC59" s="249"/>
      <c r="AD59" s="249"/>
      <c r="AE59" s="249"/>
      <c r="AF59" s="240"/>
      <c r="AG59" s="241"/>
      <c r="AH59" s="242"/>
      <c r="AI59" s="240"/>
      <c r="AJ59" s="242"/>
      <c r="AK59" s="240"/>
      <c r="AL59" s="241"/>
      <c r="AM59" s="242"/>
      <c r="AN59" s="246"/>
      <c r="AO59" s="246"/>
      <c r="AP59" s="246"/>
      <c r="AQ59" s="246"/>
      <c r="AR59" s="246"/>
      <c r="AS59" s="246"/>
      <c r="AT59" s="246"/>
      <c r="AU59" s="246"/>
    </row>
    <row r="60" spans="1:47">
      <c r="A60" s="247"/>
      <c r="B60" s="248"/>
      <c r="C60" s="248"/>
      <c r="D60" s="248"/>
      <c r="E60" s="248"/>
      <c r="F60" s="248"/>
      <c r="G60" s="249"/>
      <c r="H60" s="249"/>
      <c r="I60" s="250"/>
      <c r="J60" s="251"/>
      <c r="K60" s="252"/>
      <c r="L60" s="252"/>
      <c r="M60" s="252"/>
      <c r="N60" s="252"/>
      <c r="O60" s="252"/>
      <c r="P60" s="252"/>
      <c r="Q60" s="253"/>
      <c r="R60" s="249"/>
      <c r="S60" s="249"/>
      <c r="T60" s="249"/>
      <c r="U60" s="251"/>
      <c r="V60" s="252"/>
      <c r="W60" s="253"/>
      <c r="X60" s="254"/>
      <c r="Y60" s="252"/>
      <c r="Z60" s="255"/>
      <c r="AA60" s="249"/>
      <c r="AB60" s="249"/>
      <c r="AC60" s="249"/>
      <c r="AD60" s="249"/>
      <c r="AE60" s="249"/>
      <c r="AF60" s="240"/>
      <c r="AG60" s="241"/>
      <c r="AH60" s="242"/>
      <c r="AI60" s="240"/>
      <c r="AJ60" s="242"/>
      <c r="AK60" s="240"/>
      <c r="AL60" s="241"/>
      <c r="AM60" s="242"/>
      <c r="AN60" s="246"/>
      <c r="AO60" s="246"/>
      <c r="AP60" s="246"/>
      <c r="AQ60" s="246"/>
      <c r="AR60" s="246"/>
      <c r="AS60" s="246"/>
      <c r="AT60" s="246"/>
      <c r="AU60" s="246"/>
    </row>
    <row r="61" spans="1:47">
      <c r="A61" s="247"/>
      <c r="B61" s="248"/>
      <c r="C61" s="248"/>
      <c r="D61" s="248"/>
      <c r="E61" s="248"/>
      <c r="F61" s="248"/>
      <c r="G61" s="249"/>
      <c r="H61" s="249"/>
      <c r="I61" s="250"/>
      <c r="J61" s="251"/>
      <c r="K61" s="252"/>
      <c r="L61" s="252"/>
      <c r="M61" s="252"/>
      <c r="N61" s="252"/>
      <c r="O61" s="252"/>
      <c r="P61" s="252"/>
      <c r="Q61" s="253"/>
      <c r="R61" s="249"/>
      <c r="S61" s="249"/>
      <c r="T61" s="249"/>
      <c r="U61" s="251"/>
      <c r="V61" s="252"/>
      <c r="W61" s="253"/>
      <c r="X61" s="254"/>
      <c r="Y61" s="252"/>
      <c r="Z61" s="255"/>
      <c r="AA61" s="249"/>
      <c r="AB61" s="249"/>
      <c r="AC61" s="249"/>
      <c r="AD61" s="249"/>
      <c r="AE61" s="249"/>
      <c r="AF61" s="240"/>
      <c r="AG61" s="241"/>
      <c r="AH61" s="242"/>
      <c r="AI61" s="240"/>
      <c r="AJ61" s="242"/>
      <c r="AK61" s="240"/>
      <c r="AL61" s="241"/>
      <c r="AM61" s="242"/>
      <c r="AN61" s="246"/>
      <c r="AO61" s="246"/>
      <c r="AP61" s="246"/>
      <c r="AQ61" s="246"/>
      <c r="AR61" s="246"/>
      <c r="AS61" s="246"/>
      <c r="AT61" s="246"/>
      <c r="AU61" s="246"/>
    </row>
    <row r="62" spans="1:47">
      <c r="A62" s="247"/>
      <c r="B62" s="248"/>
      <c r="C62" s="248"/>
      <c r="D62" s="248"/>
      <c r="E62" s="248"/>
      <c r="F62" s="248"/>
      <c r="G62" s="249"/>
      <c r="H62" s="249"/>
      <c r="I62" s="250"/>
      <c r="J62" s="251"/>
      <c r="K62" s="252"/>
      <c r="L62" s="252"/>
      <c r="M62" s="252"/>
      <c r="N62" s="252"/>
      <c r="O62" s="252"/>
      <c r="P62" s="252"/>
      <c r="Q62" s="253"/>
      <c r="R62" s="249"/>
      <c r="S62" s="249"/>
      <c r="T62" s="249"/>
      <c r="U62" s="251"/>
      <c r="V62" s="252"/>
      <c r="W62" s="253"/>
      <c r="X62" s="254"/>
      <c r="Y62" s="252"/>
      <c r="Z62" s="255"/>
      <c r="AA62" s="249"/>
      <c r="AB62" s="249"/>
      <c r="AC62" s="249"/>
      <c r="AD62" s="249"/>
      <c r="AE62" s="249"/>
      <c r="AF62" s="240"/>
      <c r="AG62" s="241"/>
      <c r="AH62" s="242"/>
      <c r="AI62" s="240"/>
      <c r="AJ62" s="242"/>
      <c r="AK62" s="240"/>
      <c r="AL62" s="241"/>
      <c r="AM62" s="242"/>
      <c r="AN62" s="246"/>
      <c r="AO62" s="246"/>
      <c r="AP62" s="246"/>
      <c r="AQ62" s="246"/>
      <c r="AR62" s="246"/>
      <c r="AS62" s="246"/>
      <c r="AT62" s="246"/>
      <c r="AU62" s="246"/>
    </row>
    <row r="63" spans="1:47">
      <c r="A63" s="247"/>
      <c r="B63" s="248"/>
      <c r="C63" s="248"/>
      <c r="D63" s="248"/>
      <c r="E63" s="248"/>
      <c r="F63" s="248"/>
      <c r="G63" s="249"/>
      <c r="H63" s="249"/>
      <c r="I63" s="250"/>
      <c r="J63" s="251"/>
      <c r="K63" s="252"/>
      <c r="L63" s="252"/>
      <c r="M63" s="252"/>
      <c r="N63" s="252"/>
      <c r="O63" s="252"/>
      <c r="P63" s="252"/>
      <c r="Q63" s="253"/>
      <c r="R63" s="249"/>
      <c r="S63" s="249"/>
      <c r="T63" s="249"/>
      <c r="U63" s="251"/>
      <c r="V63" s="252"/>
      <c r="W63" s="253"/>
      <c r="X63" s="254"/>
      <c r="Y63" s="252"/>
      <c r="Z63" s="255"/>
      <c r="AA63" s="249"/>
      <c r="AB63" s="249"/>
      <c r="AC63" s="249"/>
      <c r="AD63" s="249"/>
      <c r="AE63" s="249"/>
      <c r="AF63" s="240"/>
      <c r="AG63" s="241"/>
      <c r="AH63" s="242"/>
      <c r="AI63" s="240"/>
      <c r="AJ63" s="242"/>
      <c r="AK63" s="240"/>
      <c r="AL63" s="241"/>
      <c r="AM63" s="242"/>
      <c r="AN63" s="246"/>
      <c r="AO63" s="246"/>
      <c r="AP63" s="246"/>
      <c r="AQ63" s="246"/>
      <c r="AR63" s="246"/>
      <c r="AS63" s="246"/>
      <c r="AT63" s="246"/>
      <c r="AU63" s="246"/>
    </row>
    <row r="64" spans="1:47">
      <c r="A64" s="247"/>
      <c r="B64" s="248"/>
      <c r="C64" s="248"/>
      <c r="D64" s="248"/>
      <c r="E64" s="248"/>
      <c r="F64" s="248"/>
      <c r="G64" s="249"/>
      <c r="H64" s="249"/>
      <c r="I64" s="250"/>
      <c r="J64" s="251"/>
      <c r="K64" s="252"/>
      <c r="L64" s="252"/>
      <c r="M64" s="252"/>
      <c r="N64" s="252"/>
      <c r="O64" s="252"/>
      <c r="P64" s="252"/>
      <c r="Q64" s="253"/>
      <c r="R64" s="249"/>
      <c r="S64" s="249"/>
      <c r="T64" s="249"/>
      <c r="U64" s="251"/>
      <c r="V64" s="252"/>
      <c r="W64" s="253"/>
      <c r="X64" s="254"/>
      <c r="Y64" s="252"/>
      <c r="Z64" s="255"/>
      <c r="AA64" s="249"/>
      <c r="AB64" s="249"/>
      <c r="AC64" s="249"/>
      <c r="AD64" s="249"/>
      <c r="AE64" s="249"/>
      <c r="AF64" s="240"/>
      <c r="AG64" s="241"/>
      <c r="AH64" s="242"/>
      <c r="AI64" s="240"/>
      <c r="AJ64" s="242"/>
      <c r="AK64" s="240"/>
      <c r="AL64" s="241"/>
      <c r="AM64" s="242"/>
      <c r="AN64" s="246"/>
      <c r="AO64" s="246"/>
      <c r="AP64" s="246"/>
      <c r="AQ64" s="246"/>
      <c r="AR64" s="246"/>
      <c r="AS64" s="246"/>
      <c r="AT64" s="246"/>
      <c r="AU64" s="246"/>
    </row>
    <row r="65" spans="1:47">
      <c r="A65" s="247"/>
      <c r="B65" s="248"/>
      <c r="C65" s="248"/>
      <c r="D65" s="248"/>
      <c r="E65" s="248"/>
      <c r="F65" s="248"/>
      <c r="G65" s="249"/>
      <c r="H65" s="249"/>
      <c r="I65" s="250"/>
      <c r="J65" s="251"/>
      <c r="K65" s="252"/>
      <c r="L65" s="252"/>
      <c r="M65" s="252"/>
      <c r="N65" s="252"/>
      <c r="O65" s="252"/>
      <c r="P65" s="252"/>
      <c r="Q65" s="253"/>
      <c r="R65" s="249"/>
      <c r="S65" s="249"/>
      <c r="T65" s="249"/>
      <c r="U65" s="251"/>
      <c r="V65" s="252"/>
      <c r="W65" s="253"/>
      <c r="X65" s="254"/>
      <c r="Y65" s="252"/>
      <c r="Z65" s="255"/>
      <c r="AA65" s="249"/>
      <c r="AB65" s="249"/>
      <c r="AC65" s="249"/>
      <c r="AD65" s="249"/>
      <c r="AE65" s="249"/>
      <c r="AF65" s="240"/>
      <c r="AG65" s="241"/>
      <c r="AH65" s="242"/>
      <c r="AI65" s="240"/>
      <c r="AJ65" s="242"/>
      <c r="AK65" s="240"/>
      <c r="AL65" s="241"/>
      <c r="AM65" s="242"/>
      <c r="AN65" s="246"/>
      <c r="AO65" s="246"/>
      <c r="AP65" s="246"/>
      <c r="AQ65" s="246"/>
      <c r="AR65" s="246"/>
      <c r="AS65" s="246"/>
      <c r="AT65" s="246"/>
      <c r="AU65" s="246"/>
    </row>
    <row r="66" spans="1:47">
      <c r="A66" s="247"/>
      <c r="B66" s="248"/>
      <c r="C66" s="248"/>
      <c r="D66" s="248"/>
      <c r="E66" s="248"/>
      <c r="F66" s="248"/>
      <c r="G66" s="249"/>
      <c r="H66" s="249"/>
      <c r="I66" s="250"/>
      <c r="J66" s="251"/>
      <c r="K66" s="252"/>
      <c r="L66" s="252"/>
      <c r="M66" s="252"/>
      <c r="N66" s="252"/>
      <c r="O66" s="252"/>
      <c r="P66" s="252"/>
      <c r="Q66" s="253"/>
      <c r="R66" s="249"/>
      <c r="S66" s="249"/>
      <c r="T66" s="249"/>
      <c r="U66" s="251"/>
      <c r="V66" s="252"/>
      <c r="W66" s="253"/>
      <c r="X66" s="254"/>
      <c r="Y66" s="252"/>
      <c r="Z66" s="255"/>
      <c r="AA66" s="249"/>
      <c r="AB66" s="249"/>
      <c r="AC66" s="249"/>
      <c r="AD66" s="249"/>
      <c r="AE66" s="249"/>
      <c r="AF66" s="240"/>
      <c r="AG66" s="241"/>
      <c r="AH66" s="242"/>
      <c r="AI66" s="240"/>
      <c r="AJ66" s="242"/>
      <c r="AK66" s="240"/>
      <c r="AL66" s="241"/>
      <c r="AM66" s="242"/>
      <c r="AN66" s="246"/>
      <c r="AO66" s="246"/>
      <c r="AP66" s="246"/>
      <c r="AQ66" s="246"/>
      <c r="AR66" s="246"/>
      <c r="AS66" s="246"/>
      <c r="AT66" s="246"/>
      <c r="AU66" s="246"/>
    </row>
    <row r="67" spans="1:47">
      <c r="A67" s="247"/>
      <c r="B67" s="248"/>
      <c r="C67" s="248"/>
      <c r="D67" s="248"/>
      <c r="E67" s="248"/>
      <c r="F67" s="248"/>
      <c r="G67" s="249"/>
      <c r="H67" s="249"/>
      <c r="I67" s="250"/>
      <c r="J67" s="251"/>
      <c r="K67" s="252"/>
      <c r="L67" s="252"/>
      <c r="M67" s="252"/>
      <c r="N67" s="252"/>
      <c r="O67" s="252"/>
      <c r="P67" s="252"/>
      <c r="Q67" s="253"/>
      <c r="R67" s="249"/>
      <c r="S67" s="249"/>
      <c r="T67" s="249"/>
      <c r="U67" s="251"/>
      <c r="V67" s="252"/>
      <c r="W67" s="253"/>
      <c r="X67" s="254"/>
      <c r="Y67" s="252"/>
      <c r="Z67" s="255"/>
      <c r="AA67" s="249"/>
      <c r="AB67" s="249"/>
      <c r="AC67" s="249"/>
      <c r="AD67" s="249"/>
      <c r="AE67" s="249"/>
      <c r="AF67" s="240"/>
      <c r="AG67" s="241"/>
      <c r="AH67" s="242"/>
      <c r="AI67" s="240"/>
      <c r="AJ67" s="242"/>
      <c r="AK67" s="240"/>
      <c r="AL67" s="241"/>
      <c r="AM67" s="242"/>
      <c r="AN67" s="246"/>
      <c r="AO67" s="246"/>
      <c r="AP67" s="246"/>
      <c r="AQ67" s="246"/>
      <c r="AR67" s="246"/>
      <c r="AS67" s="246"/>
      <c r="AT67" s="246"/>
      <c r="AU67" s="246"/>
    </row>
    <row r="68" spans="1:47">
      <c r="A68" s="247"/>
      <c r="B68" s="248"/>
      <c r="C68" s="248"/>
      <c r="D68" s="248"/>
      <c r="E68" s="248"/>
      <c r="F68" s="248"/>
      <c r="G68" s="249"/>
      <c r="H68" s="249"/>
      <c r="I68" s="250"/>
      <c r="J68" s="251"/>
      <c r="K68" s="252"/>
      <c r="L68" s="252"/>
      <c r="M68" s="252"/>
      <c r="N68" s="252"/>
      <c r="O68" s="252"/>
      <c r="P68" s="252"/>
      <c r="Q68" s="253"/>
      <c r="R68" s="249"/>
      <c r="S68" s="249"/>
      <c r="T68" s="249"/>
      <c r="U68" s="251"/>
      <c r="V68" s="252"/>
      <c r="W68" s="253"/>
      <c r="X68" s="254"/>
      <c r="Y68" s="252"/>
      <c r="Z68" s="255"/>
      <c r="AA68" s="249"/>
      <c r="AB68" s="249"/>
      <c r="AC68" s="249"/>
      <c r="AD68" s="249"/>
      <c r="AE68" s="249"/>
      <c r="AF68" s="240"/>
      <c r="AG68" s="241"/>
      <c r="AH68" s="242"/>
      <c r="AI68" s="240"/>
      <c r="AJ68" s="242"/>
      <c r="AK68" s="240"/>
      <c r="AL68" s="241"/>
      <c r="AM68" s="242"/>
      <c r="AN68" s="246"/>
      <c r="AO68" s="246"/>
      <c r="AP68" s="246"/>
      <c r="AQ68" s="246"/>
      <c r="AR68" s="246"/>
      <c r="AS68" s="246"/>
      <c r="AT68" s="246"/>
      <c r="AU68" s="246"/>
    </row>
    <row r="69" spans="1:47">
      <c r="A69" s="247"/>
      <c r="B69" s="248"/>
      <c r="C69" s="248"/>
      <c r="D69" s="248"/>
      <c r="E69" s="248"/>
      <c r="F69" s="248"/>
      <c r="G69" s="249"/>
      <c r="H69" s="249"/>
      <c r="I69" s="250"/>
      <c r="J69" s="251"/>
      <c r="K69" s="252"/>
      <c r="L69" s="252"/>
      <c r="M69" s="252"/>
      <c r="N69" s="252"/>
      <c r="O69" s="252"/>
      <c r="P69" s="252"/>
      <c r="Q69" s="253"/>
      <c r="R69" s="249"/>
      <c r="S69" s="249"/>
      <c r="T69" s="249"/>
      <c r="U69" s="251"/>
      <c r="V69" s="252"/>
      <c r="W69" s="253"/>
      <c r="X69" s="254"/>
      <c r="Y69" s="252"/>
      <c r="Z69" s="255"/>
      <c r="AA69" s="249"/>
      <c r="AB69" s="249"/>
      <c r="AC69" s="249"/>
      <c r="AD69" s="249"/>
      <c r="AE69" s="249"/>
      <c r="AF69" s="240"/>
      <c r="AG69" s="241"/>
      <c r="AH69" s="242"/>
      <c r="AI69" s="240"/>
      <c r="AJ69" s="242"/>
      <c r="AK69" s="240"/>
      <c r="AL69" s="241"/>
      <c r="AM69" s="242"/>
      <c r="AN69" s="246"/>
      <c r="AO69" s="246"/>
      <c r="AP69" s="246"/>
      <c r="AQ69" s="246"/>
      <c r="AR69" s="246"/>
      <c r="AS69" s="246"/>
      <c r="AT69" s="246"/>
      <c r="AU69" s="246"/>
    </row>
    <row r="70" spans="1:47">
      <c r="A70" s="247"/>
      <c r="B70" s="248"/>
      <c r="C70" s="248"/>
      <c r="D70" s="248"/>
      <c r="E70" s="248"/>
      <c r="F70" s="248"/>
      <c r="G70" s="249"/>
      <c r="H70" s="249"/>
      <c r="I70" s="250"/>
      <c r="J70" s="251"/>
      <c r="K70" s="252"/>
      <c r="L70" s="252"/>
      <c r="M70" s="252"/>
      <c r="N70" s="252"/>
      <c r="O70" s="252"/>
      <c r="P70" s="252"/>
      <c r="Q70" s="253"/>
      <c r="R70" s="249"/>
      <c r="S70" s="249"/>
      <c r="T70" s="249"/>
      <c r="U70" s="251"/>
      <c r="V70" s="252"/>
      <c r="W70" s="253"/>
      <c r="X70" s="254"/>
      <c r="Y70" s="252"/>
      <c r="Z70" s="255"/>
      <c r="AA70" s="249"/>
      <c r="AB70" s="249"/>
      <c r="AC70" s="249"/>
      <c r="AD70" s="249"/>
      <c r="AE70" s="249"/>
      <c r="AF70" s="240"/>
      <c r="AG70" s="241"/>
      <c r="AH70" s="242"/>
      <c r="AI70" s="240"/>
      <c r="AJ70" s="242"/>
      <c r="AK70" s="240"/>
      <c r="AL70" s="241"/>
      <c r="AM70" s="242"/>
      <c r="AN70" s="246"/>
      <c r="AO70" s="246"/>
      <c r="AP70" s="246"/>
      <c r="AQ70" s="246"/>
      <c r="AR70" s="246"/>
      <c r="AS70" s="246"/>
      <c r="AT70" s="246"/>
      <c r="AU70" s="246"/>
    </row>
    <row r="71" spans="1:47">
      <c r="A71" s="247"/>
      <c r="B71" s="248"/>
      <c r="C71" s="248"/>
      <c r="D71" s="248"/>
      <c r="E71" s="248"/>
      <c r="F71" s="248"/>
      <c r="G71" s="249"/>
      <c r="H71" s="249"/>
      <c r="I71" s="250"/>
      <c r="J71" s="251"/>
      <c r="K71" s="252"/>
      <c r="L71" s="252"/>
      <c r="M71" s="252"/>
      <c r="N71" s="252"/>
      <c r="O71" s="252"/>
      <c r="P71" s="252"/>
      <c r="Q71" s="253"/>
      <c r="R71" s="249"/>
      <c r="S71" s="249"/>
      <c r="T71" s="249"/>
      <c r="U71" s="251"/>
      <c r="V71" s="252"/>
      <c r="W71" s="253"/>
      <c r="X71" s="254"/>
      <c r="Y71" s="252"/>
      <c r="Z71" s="255"/>
      <c r="AA71" s="249"/>
      <c r="AB71" s="249"/>
      <c r="AC71" s="249"/>
      <c r="AD71" s="249"/>
      <c r="AE71" s="249"/>
      <c r="AF71" s="240"/>
      <c r="AG71" s="241"/>
      <c r="AH71" s="242"/>
      <c r="AI71" s="240"/>
      <c r="AJ71" s="242"/>
      <c r="AK71" s="240"/>
      <c r="AL71" s="241"/>
      <c r="AM71" s="242"/>
      <c r="AN71" s="246"/>
      <c r="AO71" s="246"/>
      <c r="AP71" s="246"/>
      <c r="AQ71" s="246"/>
      <c r="AR71" s="246"/>
      <c r="AS71" s="246"/>
      <c r="AT71" s="246"/>
      <c r="AU71" s="246"/>
    </row>
    <row r="72" spans="1:47">
      <c r="A72" s="247"/>
      <c r="B72" s="248"/>
      <c r="C72" s="248"/>
      <c r="D72" s="248"/>
      <c r="E72" s="248"/>
      <c r="F72" s="248"/>
      <c r="G72" s="249"/>
      <c r="H72" s="249"/>
      <c r="I72" s="250"/>
      <c r="J72" s="251"/>
      <c r="K72" s="252"/>
      <c r="L72" s="252"/>
      <c r="M72" s="252"/>
      <c r="N72" s="252"/>
      <c r="O72" s="252"/>
      <c r="P72" s="252"/>
      <c r="Q72" s="253"/>
      <c r="R72" s="249"/>
      <c r="S72" s="249"/>
      <c r="T72" s="249"/>
      <c r="U72" s="251"/>
      <c r="V72" s="252"/>
      <c r="W72" s="253"/>
      <c r="X72" s="254"/>
      <c r="Y72" s="252"/>
      <c r="Z72" s="255"/>
      <c r="AA72" s="249"/>
      <c r="AB72" s="249"/>
      <c r="AC72" s="249"/>
      <c r="AD72" s="249"/>
      <c r="AE72" s="249"/>
      <c r="AF72" s="240"/>
      <c r="AG72" s="241"/>
      <c r="AH72" s="242"/>
      <c r="AI72" s="240"/>
      <c r="AJ72" s="242"/>
      <c r="AK72" s="240"/>
      <c r="AL72" s="241"/>
      <c r="AM72" s="242"/>
      <c r="AN72" s="246"/>
      <c r="AO72" s="246"/>
      <c r="AP72" s="246"/>
      <c r="AQ72" s="246"/>
      <c r="AR72" s="246"/>
      <c r="AS72" s="246"/>
      <c r="AT72" s="246"/>
      <c r="AU72" s="246"/>
    </row>
    <row r="73" spans="1:47">
      <c r="A73" s="247"/>
      <c r="B73" s="248"/>
      <c r="C73" s="248"/>
      <c r="D73" s="248"/>
      <c r="E73" s="248"/>
      <c r="F73" s="248"/>
      <c r="G73" s="249"/>
      <c r="H73" s="249"/>
      <c r="I73" s="250"/>
      <c r="J73" s="251"/>
      <c r="K73" s="252"/>
      <c r="L73" s="252"/>
      <c r="M73" s="252"/>
      <c r="N73" s="252"/>
      <c r="O73" s="252"/>
      <c r="P73" s="252"/>
      <c r="Q73" s="253"/>
      <c r="R73" s="249"/>
      <c r="S73" s="249"/>
      <c r="T73" s="249"/>
      <c r="U73" s="251"/>
      <c r="V73" s="252"/>
      <c r="W73" s="253"/>
      <c r="X73" s="254"/>
      <c r="Y73" s="252"/>
      <c r="Z73" s="255"/>
      <c r="AA73" s="249"/>
      <c r="AB73" s="249"/>
      <c r="AC73" s="249"/>
      <c r="AD73" s="249"/>
      <c r="AE73" s="249"/>
      <c r="AF73" s="240"/>
      <c r="AG73" s="241"/>
      <c r="AH73" s="242"/>
      <c r="AI73" s="240"/>
      <c r="AJ73" s="242"/>
      <c r="AK73" s="240"/>
      <c r="AL73" s="241"/>
      <c r="AM73" s="242"/>
      <c r="AN73" s="246"/>
      <c r="AO73" s="246"/>
      <c r="AP73" s="246"/>
      <c r="AQ73" s="246"/>
      <c r="AR73" s="246"/>
      <c r="AS73" s="246"/>
      <c r="AT73" s="246"/>
      <c r="AU73" s="246"/>
    </row>
    <row r="74" spans="1:47">
      <c r="A74" s="247"/>
      <c r="B74" s="248"/>
      <c r="C74" s="248"/>
      <c r="D74" s="248"/>
      <c r="E74" s="248"/>
      <c r="F74" s="248"/>
      <c r="G74" s="249"/>
      <c r="H74" s="249"/>
      <c r="I74" s="250"/>
      <c r="J74" s="251"/>
      <c r="K74" s="252"/>
      <c r="L74" s="252"/>
      <c r="M74" s="252"/>
      <c r="N74" s="252"/>
      <c r="O74" s="252"/>
      <c r="P74" s="252"/>
      <c r="Q74" s="253"/>
      <c r="R74" s="249"/>
      <c r="S74" s="249"/>
      <c r="T74" s="249"/>
      <c r="U74" s="251"/>
      <c r="V74" s="252"/>
      <c r="W74" s="253"/>
      <c r="X74" s="254"/>
      <c r="Y74" s="252"/>
      <c r="Z74" s="255"/>
      <c r="AA74" s="249"/>
      <c r="AB74" s="249"/>
      <c r="AC74" s="249"/>
      <c r="AD74" s="249"/>
      <c r="AE74" s="249"/>
      <c r="AF74" s="240"/>
      <c r="AG74" s="241"/>
      <c r="AH74" s="242"/>
      <c r="AI74" s="240"/>
      <c r="AJ74" s="242"/>
      <c r="AK74" s="240"/>
      <c r="AL74" s="241"/>
      <c r="AM74" s="242"/>
      <c r="AN74" s="246"/>
      <c r="AO74" s="246"/>
      <c r="AP74" s="246"/>
      <c r="AQ74" s="246"/>
      <c r="AR74" s="246"/>
      <c r="AS74" s="246"/>
      <c r="AT74" s="246"/>
      <c r="AU74" s="246"/>
    </row>
    <row r="75" spans="1:47">
      <c r="A75" s="247"/>
      <c r="B75" s="248"/>
      <c r="C75" s="248"/>
      <c r="D75" s="248"/>
      <c r="E75" s="248"/>
      <c r="F75" s="248"/>
      <c r="G75" s="249"/>
      <c r="H75" s="249"/>
      <c r="I75" s="250"/>
      <c r="J75" s="251"/>
      <c r="K75" s="252"/>
      <c r="L75" s="252"/>
      <c r="M75" s="252"/>
      <c r="N75" s="252"/>
      <c r="O75" s="252"/>
      <c r="P75" s="252"/>
      <c r="Q75" s="253"/>
      <c r="R75" s="249"/>
      <c r="S75" s="249"/>
      <c r="T75" s="249"/>
      <c r="U75" s="251"/>
      <c r="V75" s="252"/>
      <c r="W75" s="253"/>
      <c r="X75" s="254"/>
      <c r="Y75" s="252"/>
      <c r="Z75" s="255"/>
      <c r="AA75" s="249"/>
      <c r="AB75" s="249"/>
      <c r="AC75" s="249"/>
      <c r="AD75" s="249"/>
      <c r="AE75" s="249"/>
      <c r="AF75" s="240"/>
      <c r="AG75" s="241"/>
      <c r="AH75" s="242"/>
      <c r="AI75" s="240"/>
      <c r="AJ75" s="242"/>
      <c r="AK75" s="240"/>
      <c r="AL75" s="241"/>
      <c r="AM75" s="242"/>
      <c r="AN75" s="246"/>
      <c r="AO75" s="246"/>
      <c r="AP75" s="246"/>
      <c r="AQ75" s="246"/>
      <c r="AR75" s="246"/>
      <c r="AS75" s="246"/>
      <c r="AT75" s="246"/>
      <c r="AU75" s="246"/>
    </row>
    <row r="76" spans="1:47">
      <c r="A76" s="247"/>
      <c r="B76" s="248"/>
      <c r="C76" s="248"/>
      <c r="D76" s="248"/>
      <c r="E76" s="248"/>
      <c r="F76" s="248"/>
      <c r="G76" s="249"/>
      <c r="H76" s="249"/>
      <c r="I76" s="250"/>
      <c r="J76" s="251"/>
      <c r="K76" s="252"/>
      <c r="L76" s="252"/>
      <c r="M76" s="252"/>
      <c r="N76" s="252"/>
      <c r="O76" s="252"/>
      <c r="P76" s="252"/>
      <c r="Q76" s="253"/>
      <c r="R76" s="249"/>
      <c r="S76" s="249"/>
      <c r="T76" s="249"/>
      <c r="U76" s="251"/>
      <c r="V76" s="252"/>
      <c r="W76" s="253"/>
      <c r="X76" s="254"/>
      <c r="Y76" s="252"/>
      <c r="Z76" s="255"/>
      <c r="AA76" s="249"/>
      <c r="AB76" s="249"/>
      <c r="AC76" s="249"/>
      <c r="AD76" s="249"/>
      <c r="AE76" s="249"/>
      <c r="AF76" s="240"/>
      <c r="AG76" s="241"/>
      <c r="AH76" s="242"/>
      <c r="AI76" s="240"/>
      <c r="AJ76" s="242"/>
      <c r="AK76" s="240"/>
      <c r="AL76" s="241"/>
      <c r="AM76" s="242"/>
      <c r="AN76" s="246"/>
      <c r="AO76" s="246"/>
      <c r="AP76" s="246"/>
      <c r="AQ76" s="246"/>
      <c r="AR76" s="246"/>
      <c r="AS76" s="246"/>
      <c r="AT76" s="246"/>
      <c r="AU76" s="246"/>
    </row>
    <row r="77" spans="1:47" ht="15" thickBot="1">
      <c r="A77" s="269"/>
      <c r="B77" s="270"/>
      <c r="C77" s="270"/>
      <c r="D77" s="270"/>
      <c r="E77" s="270"/>
      <c r="F77" s="270"/>
      <c r="G77" s="271"/>
      <c r="H77" s="271"/>
      <c r="I77" s="272"/>
      <c r="J77" s="273"/>
      <c r="K77" s="274"/>
      <c r="L77" s="274"/>
      <c r="M77" s="274"/>
      <c r="N77" s="274"/>
      <c r="O77" s="274"/>
      <c r="P77" s="274"/>
      <c r="Q77" s="275"/>
      <c r="R77" s="271"/>
      <c r="S77" s="271"/>
      <c r="T77" s="271"/>
      <c r="U77" s="273"/>
      <c r="V77" s="274"/>
      <c r="W77" s="275"/>
      <c r="X77" s="254"/>
      <c r="Y77" s="252"/>
      <c r="Z77" s="255"/>
      <c r="AA77" s="271"/>
      <c r="AB77" s="271"/>
      <c r="AC77" s="271"/>
      <c r="AD77" s="271"/>
      <c r="AE77" s="271"/>
      <c r="AF77" s="276"/>
      <c r="AG77" s="277"/>
      <c r="AH77" s="278"/>
      <c r="AI77" s="276"/>
      <c r="AJ77" s="278"/>
      <c r="AK77" s="276"/>
      <c r="AL77" s="277"/>
      <c r="AM77" s="278"/>
      <c r="AN77" s="298"/>
      <c r="AO77" s="298"/>
      <c r="AP77" s="298"/>
      <c r="AQ77" s="298"/>
      <c r="AR77" s="298"/>
      <c r="AS77" s="298"/>
      <c r="AT77" s="298"/>
      <c r="AU77" s="298"/>
    </row>
  </sheetData>
  <sheetProtection algorithmName="SHA-512" hashValue="PpP3iJdp8kyleAAsGuEPKoqfK8M2bQS9bCwhPIPExQqokkYWqKNZyy7FECcCvpNHNhsaq/EBOPQ9FoaFiRDdfQ==" saltValue="89MI3oD7+0YJ63asCeATUw==" spinCount="100000" sheet="1" objects="1" scenarios="1" formatCells="0" formatColumns="0" formatRows="0" sort="0" autoFilter="0"/>
  <autoFilter ref="A12:AU12" xr:uid="{00000000-0009-0000-0000-000006000000}">
    <filterColumn colId="29" showButton="0"/>
  </autoFilter>
  <mergeCells count="34">
    <mergeCell ref="AK10:AM11"/>
    <mergeCell ref="AN10:AU10"/>
    <mergeCell ref="X11:X12"/>
    <mergeCell ref="Y11:Y12"/>
    <mergeCell ref="AD10:AE12"/>
    <mergeCell ref="AF10:AH11"/>
    <mergeCell ref="AI10:AJ11"/>
    <mergeCell ref="AC10:AC12"/>
    <mergeCell ref="Z11:Z12"/>
    <mergeCell ref="AB10:AB12"/>
    <mergeCell ref="F10:F12"/>
    <mergeCell ref="G10:G12"/>
    <mergeCell ref="H10:H12"/>
    <mergeCell ref="J10:Q10"/>
    <mergeCell ref="R10:R12"/>
    <mergeCell ref="I10:I12"/>
    <mergeCell ref="S10:S12"/>
    <mergeCell ref="T10:T12"/>
    <mergeCell ref="U10:W10"/>
    <mergeCell ref="X10:Z10"/>
    <mergeCell ref="AA10:AA12"/>
    <mergeCell ref="U11:U12"/>
    <mergeCell ref="V11:V12"/>
    <mergeCell ref="W11:W12"/>
    <mergeCell ref="A4:AE4"/>
    <mergeCell ref="C6:H6"/>
    <mergeCell ref="J6:K6"/>
    <mergeCell ref="C7:H7"/>
    <mergeCell ref="J7:K7"/>
    <mergeCell ref="A10:A12"/>
    <mergeCell ref="B10:B12"/>
    <mergeCell ref="C10:C12"/>
    <mergeCell ref="D10:D12"/>
    <mergeCell ref="E10:E12"/>
  </mergeCells>
  <printOptions horizontalCentered="1" verticalCentered="1"/>
  <pageMargins left="3.937007874015748E-2" right="3.937007874015748E-2" top="0.35433070866141736" bottom="0.35433070866141736" header="0.31496062992125984" footer="0.31496062992125984"/>
  <pageSetup paperSize="9" scale="44" orientation="landscape" r:id="rId1"/>
  <headerFooter>
    <oddHeader>&amp;C&amp;"Calibri"&amp;12&amp;K000000 CONFIDENTIAL&amp;1#_x000D_</oddHead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M104"/>
  <sheetViews>
    <sheetView showGridLines="0" topLeftCell="A8" zoomScale="80" zoomScaleNormal="80" workbookViewId="0">
      <selection activeCell="C58" sqref="C58"/>
    </sheetView>
  </sheetViews>
  <sheetFormatPr defaultColWidth="9.26953125" defaultRowHeight="12.5"/>
  <cols>
    <col min="1" max="1" width="5.54296875" style="80" customWidth="1"/>
    <col min="2" max="2" width="6.54296875" style="81" customWidth="1"/>
    <col min="3" max="3" width="44.26953125" style="210" customWidth="1"/>
    <col min="4" max="4" width="44.26953125" style="211" customWidth="1"/>
    <col min="5" max="6" width="44.26953125" style="87" customWidth="1"/>
    <col min="7" max="7" width="17.7265625" style="211" bestFit="1" customWidth="1"/>
    <col min="8" max="8" width="13.54296875" style="52" customWidth="1"/>
    <col min="9" max="9" width="12.453125" style="52" customWidth="1"/>
    <col min="10" max="12" width="11.54296875" style="52" customWidth="1"/>
    <col min="13" max="16384" width="9.26953125" style="52"/>
  </cols>
  <sheetData>
    <row r="1" spans="1:13" s="80" customFormat="1">
      <c r="B1" s="81"/>
      <c r="G1" s="81"/>
      <c r="H1" s="52"/>
      <c r="I1" s="52"/>
      <c r="J1" s="52"/>
      <c r="K1" s="52"/>
      <c r="L1" s="52"/>
      <c r="M1" s="52"/>
    </row>
    <row r="2" spans="1:13" s="80" customFormat="1">
      <c r="B2" s="81"/>
      <c r="G2" s="81"/>
      <c r="H2" s="52"/>
      <c r="I2" s="52"/>
      <c r="J2" s="52"/>
      <c r="K2" s="52"/>
      <c r="L2" s="52"/>
      <c r="M2" s="52"/>
    </row>
    <row r="3" spans="1:13" s="80" customFormat="1" ht="18.5">
      <c r="B3" s="81"/>
      <c r="C3" s="419"/>
      <c r="D3" s="419"/>
      <c r="E3" s="419"/>
      <c r="F3" s="419"/>
      <c r="G3" s="81"/>
      <c r="H3" s="52"/>
      <c r="I3" s="52"/>
      <c r="J3" s="52"/>
      <c r="K3" s="52"/>
      <c r="L3" s="52"/>
      <c r="M3" s="52"/>
    </row>
    <row r="4" spans="1:13" s="80" customFormat="1" ht="14">
      <c r="A4" s="337" t="s">
        <v>102</v>
      </c>
      <c r="B4" s="337"/>
      <c r="C4" s="337"/>
      <c r="D4" s="337"/>
      <c r="E4" s="337"/>
      <c r="F4" s="337"/>
      <c r="G4" s="81"/>
      <c r="H4" s="52"/>
      <c r="I4" s="52"/>
      <c r="J4" s="52"/>
      <c r="K4" s="52"/>
      <c r="L4" s="52"/>
      <c r="M4" s="52"/>
    </row>
    <row r="5" spans="1:13" s="80" customFormat="1" ht="18.5">
      <c r="B5" s="81"/>
      <c r="C5" s="419"/>
      <c r="D5" s="419"/>
      <c r="E5" s="419"/>
      <c r="F5" s="419"/>
      <c r="G5" s="81"/>
      <c r="H5" s="52"/>
      <c r="I5" s="52"/>
      <c r="J5" s="52"/>
      <c r="K5" s="52"/>
      <c r="L5" s="52"/>
      <c r="M5" s="52"/>
    </row>
    <row r="6" spans="1:13" s="80" customFormat="1" ht="18.5">
      <c r="B6" s="81"/>
      <c r="C6" s="4" t="s">
        <v>307</v>
      </c>
      <c r="D6" s="174"/>
      <c r="E6" s="174"/>
      <c r="F6" s="174"/>
      <c r="G6" s="81"/>
      <c r="H6" s="52"/>
      <c r="I6" s="52"/>
      <c r="J6" s="52"/>
      <c r="K6" s="52"/>
      <c r="L6" s="52"/>
      <c r="M6" s="52"/>
    </row>
    <row r="7" spans="1:13" s="80" customFormat="1" ht="18.5">
      <c r="B7" s="81"/>
      <c r="C7" s="4" t="s">
        <v>301</v>
      </c>
      <c r="D7" s="174"/>
      <c r="E7" s="174"/>
      <c r="F7" s="174"/>
      <c r="G7" s="81"/>
      <c r="H7" s="52"/>
      <c r="I7" s="52"/>
      <c r="J7" s="52"/>
      <c r="K7" s="52"/>
      <c r="L7" s="52"/>
      <c r="M7" s="52"/>
    </row>
    <row r="8" spans="1:13" s="80" customFormat="1" ht="18.5">
      <c r="B8" s="81"/>
      <c r="C8" s="4" t="s">
        <v>308</v>
      </c>
      <c r="D8" s="174"/>
      <c r="E8" s="174"/>
      <c r="F8" s="174"/>
      <c r="G8" s="81"/>
      <c r="H8" s="52"/>
      <c r="I8" s="52"/>
      <c r="J8" s="52"/>
      <c r="K8" s="52"/>
      <c r="L8" s="52"/>
      <c r="M8" s="52"/>
    </row>
    <row r="9" spans="1:13" s="80" customFormat="1" ht="18.5">
      <c r="B9" s="81"/>
      <c r="C9" s="4" t="s">
        <v>302</v>
      </c>
      <c r="D9" s="174"/>
      <c r="E9" s="174"/>
      <c r="F9" s="174"/>
      <c r="G9" s="81"/>
      <c r="H9" s="52"/>
      <c r="I9" s="52"/>
      <c r="J9" s="52"/>
      <c r="K9" s="52"/>
      <c r="L9" s="52"/>
      <c r="M9" s="52"/>
    </row>
    <row r="10" spans="1:13" s="80" customFormat="1" ht="18.5">
      <c r="B10" s="81"/>
      <c r="C10" s="175"/>
      <c r="D10" s="174"/>
      <c r="E10" s="174"/>
      <c r="F10" s="174"/>
      <c r="G10" s="81"/>
      <c r="H10" s="52"/>
      <c r="I10" s="52"/>
      <c r="J10" s="52"/>
      <c r="K10" s="52"/>
      <c r="L10" s="52"/>
      <c r="M10" s="52"/>
    </row>
    <row r="11" spans="1:13" s="80" customFormat="1">
      <c r="B11" s="81"/>
      <c r="G11" s="81"/>
      <c r="H11" s="52"/>
      <c r="I11" s="52"/>
      <c r="J11" s="52"/>
      <c r="K11" s="52"/>
      <c r="L11" s="52"/>
      <c r="M11" s="52"/>
    </row>
    <row r="12" spans="1:13" s="80" customFormat="1" ht="20.149999999999999" customHeight="1">
      <c r="A12" s="420" t="s">
        <v>166</v>
      </c>
      <c r="B12" s="421" t="s">
        <v>167</v>
      </c>
      <c r="C12" s="176" t="s">
        <v>115</v>
      </c>
      <c r="D12" s="177" t="s">
        <v>109</v>
      </c>
      <c r="E12" s="178" t="s">
        <v>105</v>
      </c>
      <c r="F12" s="179" t="s">
        <v>306</v>
      </c>
      <c r="G12" s="81"/>
      <c r="H12" s="52"/>
      <c r="I12" s="52"/>
      <c r="J12" s="52"/>
      <c r="K12" s="52"/>
      <c r="L12" s="52"/>
      <c r="M12" s="52"/>
    </row>
    <row r="13" spans="1:13" s="80" customFormat="1" ht="20.149999999999999" customHeight="1">
      <c r="A13" s="420"/>
      <c r="B13" s="421"/>
      <c r="C13" s="180"/>
      <c r="D13" s="181"/>
      <c r="E13" s="182"/>
      <c r="F13" s="183"/>
      <c r="G13" s="81"/>
      <c r="H13" s="52"/>
      <c r="I13" s="52"/>
      <c r="J13" s="52"/>
      <c r="K13" s="52"/>
      <c r="L13" s="52"/>
      <c r="M13" s="52"/>
    </row>
    <row r="14" spans="1:13" s="80" customFormat="1" ht="20.149999999999999" customHeight="1">
      <c r="A14" s="420"/>
      <c r="B14" s="421"/>
      <c r="C14" s="180"/>
      <c r="D14" s="181"/>
      <c r="E14" s="182"/>
      <c r="F14" s="184"/>
      <c r="G14" s="81"/>
      <c r="H14" s="52"/>
      <c r="I14" s="52"/>
      <c r="J14" s="52"/>
      <c r="K14" s="52"/>
      <c r="L14" s="52"/>
      <c r="M14" s="52"/>
    </row>
    <row r="15" spans="1:13" s="80" customFormat="1" ht="20.149999999999999" customHeight="1">
      <c r="A15" s="420"/>
      <c r="B15" s="421"/>
      <c r="C15" s="180"/>
      <c r="D15" s="181"/>
      <c r="E15" s="182"/>
      <c r="F15" s="184"/>
      <c r="G15" s="81"/>
      <c r="H15" s="52"/>
      <c r="I15" s="52"/>
      <c r="J15" s="52"/>
      <c r="K15" s="52"/>
      <c r="L15" s="52"/>
      <c r="M15" s="52"/>
    </row>
    <row r="16" spans="1:13" s="80" customFormat="1" ht="20.149999999999999" customHeight="1">
      <c r="A16" s="420"/>
      <c r="B16" s="421"/>
      <c r="C16" s="180"/>
      <c r="D16" s="181"/>
      <c r="E16" s="182"/>
      <c r="F16" s="184"/>
      <c r="G16" s="81"/>
      <c r="H16" s="52"/>
      <c r="I16" s="52"/>
      <c r="J16" s="52"/>
      <c r="K16" s="52"/>
      <c r="L16" s="52"/>
      <c r="M16" s="52"/>
    </row>
    <row r="17" spans="1:13" s="80" customFormat="1" ht="20.149999999999999" customHeight="1">
      <c r="A17" s="420"/>
      <c r="B17" s="421"/>
      <c r="C17" s="180"/>
      <c r="D17" s="181"/>
      <c r="E17" s="182"/>
      <c r="F17" s="184"/>
      <c r="G17" s="81"/>
      <c r="H17" s="52"/>
      <c r="I17" s="52"/>
      <c r="J17" s="52"/>
      <c r="K17" s="52"/>
      <c r="L17" s="52"/>
      <c r="M17" s="52"/>
    </row>
    <row r="18" spans="1:13" s="80" customFormat="1" ht="20.149999999999999" customHeight="1">
      <c r="A18" s="420"/>
      <c r="B18" s="421"/>
      <c r="C18" s="180"/>
      <c r="D18" s="181"/>
      <c r="E18" s="182"/>
      <c r="F18" s="184"/>
      <c r="G18" s="81"/>
      <c r="H18" s="52"/>
      <c r="I18" s="52"/>
      <c r="J18" s="52"/>
      <c r="K18" s="52"/>
      <c r="L18" s="52"/>
      <c r="M18" s="52"/>
    </row>
    <row r="19" spans="1:13" s="185" customFormat="1" ht="20.149999999999999" customHeight="1">
      <c r="A19" s="420"/>
      <c r="B19" s="421"/>
      <c r="C19" s="215" t="s">
        <v>253</v>
      </c>
      <c r="D19" s="216" t="s">
        <v>253</v>
      </c>
      <c r="E19" s="217" t="s">
        <v>253</v>
      </c>
      <c r="F19" s="218" t="s">
        <v>253</v>
      </c>
      <c r="H19" s="53"/>
      <c r="I19" s="53"/>
      <c r="J19" s="53"/>
      <c r="K19" s="53"/>
      <c r="L19" s="53"/>
      <c r="M19" s="53"/>
    </row>
    <row r="20" spans="1:13" s="80" customFormat="1" ht="20.149999999999999" customHeight="1">
      <c r="A20" s="420"/>
      <c r="B20" s="417" t="s">
        <v>168</v>
      </c>
      <c r="C20" s="176" t="s">
        <v>116</v>
      </c>
      <c r="D20" s="177" t="s">
        <v>110</v>
      </c>
      <c r="E20" s="178" t="s">
        <v>106</v>
      </c>
      <c r="F20" s="186" t="s">
        <v>103</v>
      </c>
      <c r="G20" s="81"/>
      <c r="H20" s="52"/>
      <c r="I20" s="52"/>
      <c r="J20" s="52"/>
      <c r="K20" s="52"/>
      <c r="L20" s="52"/>
      <c r="M20" s="52"/>
    </row>
    <row r="21" spans="1:13" s="80" customFormat="1" ht="20.149999999999999" customHeight="1">
      <c r="A21" s="420"/>
      <c r="B21" s="417"/>
      <c r="C21" s="187"/>
      <c r="D21" s="181"/>
      <c r="E21" s="182"/>
      <c r="F21" s="188"/>
      <c r="G21" s="81"/>
      <c r="H21" s="52"/>
      <c r="I21" s="52"/>
      <c r="J21" s="52"/>
      <c r="K21" s="52"/>
      <c r="L21" s="52"/>
      <c r="M21" s="52"/>
    </row>
    <row r="22" spans="1:13" s="80" customFormat="1" ht="20.149999999999999" customHeight="1">
      <c r="A22" s="420"/>
      <c r="B22" s="417"/>
      <c r="C22" s="187"/>
      <c r="D22" s="181"/>
      <c r="E22" s="182"/>
      <c r="F22" s="189"/>
      <c r="G22" s="81"/>
      <c r="H22" s="52"/>
      <c r="I22" s="52"/>
      <c r="J22" s="52"/>
      <c r="K22" s="52"/>
      <c r="L22" s="52"/>
      <c r="M22" s="52"/>
    </row>
    <row r="23" spans="1:13" s="80" customFormat="1" ht="20.149999999999999" customHeight="1">
      <c r="A23" s="420"/>
      <c r="B23" s="417"/>
      <c r="C23" s="187"/>
      <c r="D23" s="181"/>
      <c r="E23" s="182"/>
      <c r="F23" s="189"/>
      <c r="G23" s="81"/>
      <c r="H23" s="52"/>
      <c r="I23" s="52"/>
      <c r="J23" s="52"/>
      <c r="K23" s="52"/>
      <c r="L23" s="52"/>
      <c r="M23" s="52"/>
    </row>
    <row r="24" spans="1:13" s="80" customFormat="1" ht="20.149999999999999" customHeight="1">
      <c r="A24" s="420"/>
      <c r="B24" s="417"/>
      <c r="C24" s="187"/>
      <c r="D24" s="181"/>
      <c r="E24" s="182"/>
      <c r="F24" s="189"/>
      <c r="G24" s="81"/>
      <c r="H24" s="52"/>
      <c r="I24" s="52"/>
      <c r="J24" s="52"/>
      <c r="K24" s="52"/>
      <c r="L24" s="52"/>
      <c r="M24" s="52"/>
    </row>
    <row r="25" spans="1:13" s="80" customFormat="1" ht="20.149999999999999" customHeight="1">
      <c r="A25" s="420"/>
      <c r="B25" s="417"/>
      <c r="C25" s="187"/>
      <c r="D25" s="181"/>
      <c r="E25" s="182"/>
      <c r="F25" s="189"/>
      <c r="G25" s="81"/>
      <c r="H25" s="52"/>
      <c r="I25" s="52"/>
      <c r="J25" s="52"/>
      <c r="K25" s="52"/>
      <c r="L25" s="52"/>
      <c r="M25" s="52"/>
    </row>
    <row r="26" spans="1:13" s="80" customFormat="1" ht="20.149999999999999" customHeight="1">
      <c r="A26" s="420"/>
      <c r="B26" s="417"/>
      <c r="C26" s="187"/>
      <c r="D26" s="181"/>
      <c r="E26" s="182"/>
      <c r="F26" s="189"/>
      <c r="G26" s="81"/>
      <c r="H26" s="52"/>
      <c r="I26" s="52"/>
      <c r="J26" s="52"/>
      <c r="K26" s="52"/>
      <c r="L26" s="52"/>
      <c r="M26" s="52"/>
    </row>
    <row r="27" spans="1:13" s="185" customFormat="1" ht="20.149999999999999" customHeight="1">
      <c r="A27" s="420"/>
      <c r="B27" s="417"/>
      <c r="C27" s="219" t="s">
        <v>253</v>
      </c>
      <c r="D27" s="216" t="s">
        <v>253</v>
      </c>
      <c r="E27" s="217" t="s">
        <v>253</v>
      </c>
      <c r="F27" s="220" t="s">
        <v>253</v>
      </c>
      <c r="H27" s="53"/>
      <c r="I27" s="53"/>
      <c r="J27" s="53"/>
      <c r="K27" s="53"/>
      <c r="L27" s="53"/>
      <c r="M27" s="53"/>
    </row>
    <row r="28" spans="1:13" s="80" customFormat="1" ht="20.149999999999999" customHeight="1">
      <c r="A28" s="420"/>
      <c r="B28" s="417" t="s">
        <v>169</v>
      </c>
      <c r="C28" s="176" t="s">
        <v>117</v>
      </c>
      <c r="D28" s="177" t="s">
        <v>111</v>
      </c>
      <c r="E28" s="190" t="s">
        <v>108</v>
      </c>
      <c r="F28" s="191" t="s">
        <v>107</v>
      </c>
      <c r="G28" s="81"/>
      <c r="H28" s="52"/>
      <c r="I28" s="52"/>
      <c r="J28" s="52"/>
      <c r="K28" s="52"/>
      <c r="L28" s="52"/>
      <c r="M28" s="52"/>
    </row>
    <row r="29" spans="1:13" s="80" customFormat="1" ht="20.149999999999999" customHeight="1">
      <c r="A29" s="420"/>
      <c r="B29" s="417"/>
      <c r="C29" s="192"/>
      <c r="D29" s="181"/>
      <c r="E29" s="193"/>
      <c r="F29" s="194"/>
      <c r="G29" s="81"/>
      <c r="H29" s="52"/>
      <c r="I29" s="52"/>
      <c r="J29" s="52"/>
      <c r="K29" s="52"/>
      <c r="L29" s="52"/>
      <c r="M29" s="52"/>
    </row>
    <row r="30" spans="1:13" s="80" customFormat="1" ht="20.149999999999999" customHeight="1">
      <c r="A30" s="420"/>
      <c r="B30" s="417"/>
      <c r="C30" s="192"/>
      <c r="D30" s="181"/>
      <c r="E30" s="193"/>
      <c r="F30" s="194"/>
      <c r="G30" s="81"/>
      <c r="H30" s="52"/>
      <c r="I30" s="52"/>
      <c r="J30" s="52"/>
      <c r="K30" s="52"/>
      <c r="L30" s="52"/>
      <c r="M30" s="52"/>
    </row>
    <row r="31" spans="1:13" s="80" customFormat="1" ht="20.149999999999999" customHeight="1">
      <c r="A31" s="420"/>
      <c r="B31" s="417"/>
      <c r="C31" s="192"/>
      <c r="D31" s="181"/>
      <c r="E31" s="193"/>
      <c r="F31" s="194"/>
      <c r="G31" s="81"/>
      <c r="H31" s="52"/>
      <c r="I31" s="52"/>
      <c r="J31" s="52"/>
      <c r="K31" s="52"/>
      <c r="L31" s="52"/>
      <c r="M31" s="52"/>
    </row>
    <row r="32" spans="1:13" s="80" customFormat="1" ht="20.149999999999999" customHeight="1">
      <c r="A32" s="420"/>
      <c r="B32" s="417"/>
      <c r="C32" s="192"/>
      <c r="D32" s="181"/>
      <c r="E32" s="193"/>
      <c r="F32" s="194"/>
      <c r="G32" s="81"/>
      <c r="H32" s="52"/>
      <c r="I32" s="52"/>
      <c r="J32" s="52"/>
      <c r="K32" s="52"/>
      <c r="L32" s="52"/>
      <c r="M32" s="52"/>
    </row>
    <row r="33" spans="1:13" s="80" customFormat="1" ht="20.149999999999999" customHeight="1">
      <c r="A33" s="420"/>
      <c r="B33" s="417"/>
      <c r="C33" s="192"/>
      <c r="D33" s="181"/>
      <c r="E33" s="193"/>
      <c r="F33" s="194"/>
      <c r="G33" s="81"/>
      <c r="H33" s="52"/>
      <c r="I33" s="52"/>
      <c r="J33" s="52"/>
      <c r="K33" s="52"/>
      <c r="L33" s="52"/>
      <c r="M33" s="52"/>
    </row>
    <row r="34" spans="1:13" s="80" customFormat="1" ht="20.149999999999999" customHeight="1">
      <c r="A34" s="420"/>
      <c r="B34" s="417"/>
      <c r="C34" s="192"/>
      <c r="D34" s="181"/>
      <c r="E34" s="193"/>
      <c r="F34" s="194"/>
      <c r="G34" s="81"/>
      <c r="H34" s="52"/>
      <c r="I34" s="52"/>
      <c r="J34" s="52"/>
      <c r="K34" s="52"/>
      <c r="L34" s="52"/>
      <c r="M34" s="52"/>
    </row>
    <row r="35" spans="1:13" s="185" customFormat="1" ht="20.149999999999999" customHeight="1">
      <c r="A35" s="420"/>
      <c r="B35" s="417"/>
      <c r="C35" s="221" t="s">
        <v>253</v>
      </c>
      <c r="D35" s="222" t="s">
        <v>253</v>
      </c>
      <c r="E35" s="223" t="s">
        <v>300</v>
      </c>
      <c r="F35" s="224" t="s">
        <v>253</v>
      </c>
      <c r="H35" s="53"/>
      <c r="I35" s="53"/>
      <c r="J35" s="53"/>
      <c r="K35" s="53"/>
      <c r="L35" s="53"/>
      <c r="M35" s="53"/>
    </row>
    <row r="36" spans="1:13" s="80" customFormat="1" ht="20.149999999999999" customHeight="1">
      <c r="B36" s="417" t="s">
        <v>170</v>
      </c>
      <c r="C36" s="176" t="s">
        <v>171</v>
      </c>
      <c r="D36" s="176" t="s">
        <v>114</v>
      </c>
      <c r="E36" s="176" t="s">
        <v>113</v>
      </c>
      <c r="F36" s="195" t="s">
        <v>112</v>
      </c>
      <c r="G36" s="81"/>
      <c r="H36" s="52"/>
      <c r="I36" s="52"/>
      <c r="J36" s="52"/>
      <c r="K36" s="52"/>
      <c r="L36" s="52"/>
      <c r="M36" s="52"/>
    </row>
    <row r="37" spans="1:13" s="80" customFormat="1" ht="20.149999999999999" customHeight="1">
      <c r="B37" s="417"/>
      <c r="C37" s="196"/>
      <c r="D37" s="197"/>
      <c r="E37" s="197"/>
      <c r="F37" s="197"/>
      <c r="G37" s="81"/>
      <c r="H37" s="52"/>
      <c r="I37" s="52"/>
      <c r="J37" s="52"/>
      <c r="K37" s="52"/>
      <c r="L37" s="52"/>
      <c r="M37" s="52"/>
    </row>
    <row r="38" spans="1:13" s="80" customFormat="1" ht="20.149999999999999" customHeight="1">
      <c r="B38" s="417"/>
      <c r="C38" s="196"/>
      <c r="D38" s="197"/>
      <c r="E38" s="197"/>
      <c r="F38" s="197"/>
      <c r="G38" s="81"/>
      <c r="H38" s="52"/>
      <c r="I38" s="52"/>
      <c r="J38" s="52"/>
      <c r="K38" s="52"/>
      <c r="L38" s="52"/>
      <c r="M38" s="52"/>
    </row>
    <row r="39" spans="1:13" s="80" customFormat="1" ht="20.149999999999999" customHeight="1">
      <c r="B39" s="417"/>
      <c r="C39" s="196"/>
      <c r="D39" s="197"/>
      <c r="E39" s="197"/>
      <c r="F39" s="197"/>
      <c r="G39" s="81"/>
      <c r="H39" s="52"/>
      <c r="I39" s="52"/>
      <c r="J39" s="52"/>
      <c r="K39" s="52"/>
      <c r="L39" s="52"/>
      <c r="M39" s="52"/>
    </row>
    <row r="40" spans="1:13" s="80" customFormat="1" ht="20.149999999999999" customHeight="1">
      <c r="B40" s="417"/>
      <c r="C40" s="196"/>
      <c r="D40" s="197"/>
      <c r="E40" s="197"/>
      <c r="F40" s="197"/>
      <c r="G40" s="81"/>
      <c r="H40" s="52"/>
      <c r="I40" s="52"/>
      <c r="J40" s="52"/>
      <c r="K40" s="52"/>
      <c r="L40" s="52"/>
      <c r="M40" s="52"/>
    </row>
    <row r="41" spans="1:13" s="80" customFormat="1" ht="20.149999999999999" customHeight="1">
      <c r="B41" s="417"/>
      <c r="C41" s="196"/>
      <c r="D41" s="197"/>
      <c r="E41" s="197"/>
      <c r="F41" s="197"/>
      <c r="G41" s="81"/>
      <c r="H41" s="52"/>
      <c r="I41" s="52"/>
      <c r="J41" s="52"/>
      <c r="K41" s="52"/>
      <c r="L41" s="52"/>
      <c r="M41" s="52"/>
    </row>
    <row r="42" spans="1:13" s="80" customFormat="1" ht="20.149999999999999" customHeight="1">
      <c r="B42" s="417"/>
      <c r="C42" s="196"/>
      <c r="D42" s="197"/>
      <c r="E42" s="197"/>
      <c r="F42" s="197"/>
      <c r="G42" s="81"/>
      <c r="H42" s="52"/>
      <c r="I42" s="52"/>
      <c r="J42" s="52"/>
      <c r="K42" s="52"/>
      <c r="L42" s="52"/>
      <c r="M42" s="52"/>
    </row>
    <row r="43" spans="1:13" s="185" customFormat="1" ht="20.149999999999999" customHeight="1">
      <c r="B43" s="417"/>
      <c r="C43" s="225" t="s">
        <v>253</v>
      </c>
      <c r="D43" s="226" t="s">
        <v>253</v>
      </c>
      <c r="E43" s="226" t="s">
        <v>253</v>
      </c>
      <c r="F43" s="226" t="s">
        <v>253</v>
      </c>
      <c r="H43" s="53"/>
      <c r="I43" s="53"/>
      <c r="J43" s="53"/>
      <c r="K43" s="53"/>
      <c r="L43" s="53"/>
      <c r="M43" s="53"/>
    </row>
    <row r="44" spans="1:13" s="80" customFormat="1">
      <c r="B44" s="198"/>
      <c r="C44" s="52"/>
      <c r="D44" s="52"/>
      <c r="E44" s="52"/>
      <c r="F44" s="52"/>
      <c r="G44" s="81"/>
      <c r="H44" s="52"/>
      <c r="I44" s="52"/>
      <c r="J44" s="52"/>
      <c r="K44" s="52"/>
      <c r="L44" s="52"/>
      <c r="M44" s="52"/>
    </row>
    <row r="45" spans="1:13" s="80" customFormat="1">
      <c r="B45" s="198"/>
      <c r="C45" s="52"/>
      <c r="D45" s="52"/>
      <c r="E45" s="52"/>
      <c r="F45" s="52"/>
      <c r="G45" s="81"/>
      <c r="H45" s="52"/>
      <c r="I45" s="52"/>
      <c r="J45" s="52"/>
      <c r="K45" s="52"/>
      <c r="L45" s="52"/>
      <c r="M45" s="52"/>
    </row>
    <row r="46" spans="1:13" s="80" customFormat="1" ht="13">
      <c r="B46" s="198"/>
      <c r="C46" s="52"/>
      <c r="D46" s="54" t="s">
        <v>291</v>
      </c>
      <c r="E46" s="54"/>
      <c r="F46" s="52"/>
      <c r="G46" s="81"/>
      <c r="H46" s="52"/>
      <c r="I46" s="54"/>
      <c r="J46" s="52"/>
      <c r="K46" s="52"/>
      <c r="L46" s="52"/>
      <c r="M46" s="52"/>
    </row>
    <row r="47" spans="1:13" s="80" customFormat="1" ht="13">
      <c r="B47" s="198"/>
      <c r="C47" s="52"/>
      <c r="D47" s="54" t="s">
        <v>292</v>
      </c>
      <c r="E47" s="54"/>
      <c r="F47" s="52"/>
      <c r="G47" s="81"/>
      <c r="H47" s="52"/>
      <c r="I47" s="212"/>
      <c r="J47" s="52"/>
      <c r="K47" s="52"/>
      <c r="L47" s="52"/>
      <c r="M47" s="52"/>
    </row>
    <row r="48" spans="1:13" s="80" customFormat="1" ht="13">
      <c r="B48" s="198"/>
      <c r="C48" s="52"/>
      <c r="D48" s="54" t="s">
        <v>0</v>
      </c>
      <c r="E48" s="54" t="s">
        <v>293</v>
      </c>
      <c r="F48" s="52"/>
      <c r="G48" s="81"/>
      <c r="H48" s="52"/>
      <c r="I48" s="213"/>
      <c r="J48" s="52"/>
      <c r="K48" s="52"/>
      <c r="L48" s="52"/>
      <c r="M48" s="52"/>
    </row>
    <row r="49" spans="1:13" s="80" customFormat="1" ht="13">
      <c r="B49" s="198"/>
      <c r="C49" s="52"/>
      <c r="D49" s="54" t="s">
        <v>2</v>
      </c>
      <c r="E49" s="54" t="s">
        <v>294</v>
      </c>
      <c r="F49" s="52"/>
      <c r="G49" s="81"/>
      <c r="H49" s="52"/>
      <c r="I49" s="213"/>
      <c r="J49" s="52"/>
      <c r="K49" s="52"/>
      <c r="L49" s="52"/>
      <c r="M49" s="52"/>
    </row>
    <row r="50" spans="1:13" s="80" customFormat="1" ht="13">
      <c r="B50" s="198"/>
      <c r="C50" s="52"/>
      <c r="D50" s="54" t="s">
        <v>3</v>
      </c>
      <c r="E50" s="54" t="s">
        <v>295</v>
      </c>
      <c r="F50" s="52"/>
      <c r="G50" s="81"/>
      <c r="H50" s="52"/>
      <c r="I50" s="213"/>
      <c r="J50" s="52"/>
      <c r="K50" s="52"/>
      <c r="L50" s="52"/>
      <c r="M50" s="52"/>
    </row>
    <row r="51" spans="1:13" s="80" customFormat="1" ht="13">
      <c r="B51" s="81"/>
      <c r="C51" s="52"/>
      <c r="D51" s="54" t="s">
        <v>4</v>
      </c>
      <c r="E51" s="54" t="s">
        <v>296</v>
      </c>
      <c r="F51" s="52"/>
      <c r="G51" s="81"/>
      <c r="H51" s="52"/>
      <c r="I51" s="52"/>
      <c r="J51" s="52"/>
      <c r="K51" s="52"/>
      <c r="L51" s="52"/>
      <c r="M51" s="52"/>
    </row>
    <row r="52" spans="1:13" s="80" customFormat="1">
      <c r="B52" s="81"/>
      <c r="C52" s="52"/>
      <c r="D52" s="52"/>
      <c r="E52" s="52"/>
      <c r="F52" s="52"/>
      <c r="G52" s="81"/>
      <c r="H52" s="52"/>
      <c r="I52" s="52"/>
      <c r="J52" s="52"/>
      <c r="K52" s="52"/>
      <c r="L52" s="52"/>
      <c r="M52" s="52"/>
    </row>
    <row r="53" spans="1:13" s="80" customFormat="1" ht="13">
      <c r="B53" s="81"/>
      <c r="C53" s="52"/>
      <c r="D53" s="54"/>
      <c r="E53" s="52"/>
      <c r="F53" s="52"/>
      <c r="G53" s="81"/>
      <c r="H53" s="52"/>
      <c r="I53" s="52"/>
      <c r="J53" s="52"/>
      <c r="K53" s="52"/>
      <c r="L53" s="52"/>
      <c r="M53" s="52"/>
    </row>
    <row r="54" spans="1:13" s="80" customFormat="1" ht="13">
      <c r="B54" s="81"/>
      <c r="C54" s="52"/>
      <c r="D54" s="54"/>
      <c r="E54" s="52"/>
      <c r="F54" s="52"/>
      <c r="G54" s="81"/>
      <c r="H54" s="52"/>
      <c r="I54" s="54"/>
      <c r="J54" s="52"/>
      <c r="K54" s="52"/>
      <c r="L54" s="52"/>
      <c r="M54" s="52"/>
    </row>
    <row r="55" spans="1:13" s="80" customFormat="1" ht="17.25" customHeight="1">
      <c r="A55" s="81"/>
      <c r="B55" s="81"/>
      <c r="C55" s="105"/>
      <c r="D55" s="105"/>
      <c r="E55" s="105"/>
      <c r="F55" s="105"/>
      <c r="G55" s="81"/>
      <c r="H55" s="105"/>
      <c r="I55" s="105"/>
      <c r="J55" s="105"/>
      <c r="K55" s="105"/>
      <c r="L55" s="105"/>
      <c r="M55" s="105"/>
    </row>
    <row r="56" spans="1:13" s="199" customFormat="1" ht="25">
      <c r="B56" s="200" t="s">
        <v>280</v>
      </c>
      <c r="C56" s="201"/>
      <c r="D56" s="201"/>
      <c r="E56" s="201"/>
      <c r="F56" s="201"/>
      <c r="G56" s="202" t="s">
        <v>281</v>
      </c>
      <c r="H56" s="114" t="s">
        <v>282</v>
      </c>
      <c r="I56" s="115"/>
      <c r="J56" s="418" t="s">
        <v>283</v>
      </c>
      <c r="K56" s="418"/>
      <c r="L56" s="418"/>
      <c r="M56" s="418"/>
    </row>
    <row r="57" spans="1:13" ht="13">
      <c r="B57" s="203" t="s">
        <v>5</v>
      </c>
      <c r="C57" s="203" t="s">
        <v>101</v>
      </c>
      <c r="D57" s="203" t="s">
        <v>27</v>
      </c>
      <c r="E57" s="203" t="s">
        <v>284</v>
      </c>
      <c r="F57" s="203" t="s">
        <v>164</v>
      </c>
      <c r="G57" s="203" t="s">
        <v>285</v>
      </c>
      <c r="H57" s="102" t="s">
        <v>285</v>
      </c>
      <c r="I57" s="102" t="s">
        <v>286</v>
      </c>
      <c r="J57" s="102" t="s">
        <v>287</v>
      </c>
      <c r="K57" s="102" t="s">
        <v>288</v>
      </c>
      <c r="L57" s="102" t="s">
        <v>289</v>
      </c>
      <c r="M57" s="102" t="s">
        <v>290</v>
      </c>
    </row>
    <row r="58" spans="1:13">
      <c r="B58" s="204">
        <v>1</v>
      </c>
      <c r="C58" s="205" t="s">
        <v>313</v>
      </c>
      <c r="D58" s="206">
        <v>330</v>
      </c>
      <c r="E58" s="207" t="s">
        <v>309</v>
      </c>
      <c r="F58" s="207" t="s">
        <v>310</v>
      </c>
      <c r="G58" s="206" t="s">
        <v>312</v>
      </c>
      <c r="H58" s="106"/>
      <c r="I58" s="106"/>
      <c r="J58" s="106"/>
      <c r="K58" s="106"/>
      <c r="L58" s="106"/>
      <c r="M58" s="106"/>
    </row>
    <row r="59" spans="1:13">
      <c r="B59" s="204"/>
      <c r="C59" s="205"/>
      <c r="D59" s="206"/>
      <c r="E59" s="207"/>
      <c r="F59" s="207"/>
      <c r="G59" s="206"/>
      <c r="H59" s="106"/>
      <c r="I59" s="106"/>
      <c r="J59" s="106"/>
      <c r="K59" s="106"/>
      <c r="L59" s="106"/>
      <c r="M59" s="106"/>
    </row>
    <row r="60" spans="1:13">
      <c r="B60" s="204"/>
      <c r="C60" s="205"/>
      <c r="D60" s="206"/>
      <c r="E60" s="207"/>
      <c r="F60" s="207"/>
      <c r="G60" s="206"/>
      <c r="H60" s="103"/>
      <c r="I60" s="103"/>
      <c r="J60" s="103"/>
      <c r="K60" s="103"/>
      <c r="L60" s="103"/>
      <c r="M60" s="103"/>
    </row>
    <row r="61" spans="1:13">
      <c r="B61" s="208"/>
      <c r="C61" s="88"/>
      <c r="D61" s="209"/>
      <c r="E61" s="86"/>
      <c r="F61" s="207"/>
      <c r="G61" s="209"/>
      <c r="H61" s="104"/>
      <c r="I61" s="103"/>
      <c r="J61" s="104"/>
      <c r="K61" s="104"/>
      <c r="L61" s="104"/>
      <c r="M61" s="104"/>
    </row>
    <row r="62" spans="1:13">
      <c r="B62" s="208"/>
      <c r="C62" s="88"/>
      <c r="D62" s="209"/>
      <c r="E62" s="86"/>
      <c r="F62" s="207"/>
      <c r="G62" s="209"/>
      <c r="H62" s="104"/>
      <c r="I62" s="103"/>
      <c r="J62" s="104"/>
      <c r="K62" s="104"/>
      <c r="L62" s="104"/>
      <c r="M62" s="104"/>
    </row>
    <row r="63" spans="1:13">
      <c r="B63" s="208"/>
      <c r="C63" s="88"/>
      <c r="D63" s="209"/>
      <c r="E63" s="86"/>
      <c r="F63" s="207"/>
      <c r="G63" s="209"/>
      <c r="H63" s="104"/>
      <c r="I63" s="103"/>
      <c r="J63" s="104"/>
      <c r="K63" s="104"/>
      <c r="L63" s="104"/>
      <c r="M63" s="104"/>
    </row>
    <row r="64" spans="1:13">
      <c r="B64" s="204"/>
      <c r="C64" s="205"/>
      <c r="D64" s="206"/>
      <c r="E64" s="207"/>
      <c r="F64" s="207"/>
      <c r="G64" s="206"/>
      <c r="H64" s="103"/>
      <c r="I64" s="103"/>
      <c r="J64" s="103"/>
      <c r="K64" s="103"/>
      <c r="L64" s="103"/>
      <c r="M64" s="103"/>
    </row>
    <row r="65" spans="2:13">
      <c r="B65" s="204"/>
      <c r="C65" s="205"/>
      <c r="D65" s="206"/>
      <c r="E65" s="207"/>
      <c r="F65" s="207"/>
      <c r="G65" s="206"/>
      <c r="H65" s="103"/>
      <c r="I65" s="103"/>
      <c r="J65" s="103"/>
      <c r="K65" s="103"/>
      <c r="L65" s="103"/>
      <c r="M65" s="103"/>
    </row>
    <row r="66" spans="2:13">
      <c r="B66" s="208"/>
      <c r="C66" s="88"/>
      <c r="D66" s="209"/>
      <c r="E66" s="86"/>
      <c r="F66" s="207"/>
      <c r="G66" s="209"/>
      <c r="H66" s="104"/>
      <c r="I66" s="103"/>
      <c r="J66" s="104"/>
      <c r="K66" s="104"/>
      <c r="L66" s="104"/>
      <c r="M66" s="104"/>
    </row>
    <row r="67" spans="2:13">
      <c r="B67" s="208"/>
      <c r="C67" s="88"/>
      <c r="D67" s="209"/>
      <c r="E67" s="86"/>
      <c r="F67" s="207"/>
      <c r="G67" s="209"/>
      <c r="H67" s="104"/>
      <c r="I67" s="103"/>
      <c r="J67" s="104"/>
      <c r="K67" s="104"/>
      <c r="L67" s="104"/>
      <c r="M67" s="104"/>
    </row>
    <row r="68" spans="2:13">
      <c r="B68" s="208"/>
      <c r="C68" s="88"/>
      <c r="D68" s="209"/>
      <c r="E68" s="86"/>
      <c r="F68" s="207"/>
      <c r="G68" s="209"/>
      <c r="H68" s="104"/>
      <c r="I68" s="103"/>
      <c r="J68" s="104"/>
      <c r="K68" s="104"/>
      <c r="L68" s="104"/>
      <c r="M68" s="104"/>
    </row>
    <row r="69" spans="2:13">
      <c r="B69" s="208"/>
      <c r="C69" s="88"/>
      <c r="D69" s="209"/>
      <c r="E69" s="86"/>
      <c r="F69" s="207"/>
      <c r="G69" s="209"/>
      <c r="H69" s="104"/>
      <c r="I69" s="103"/>
      <c r="J69" s="104"/>
      <c r="K69" s="104"/>
      <c r="L69" s="104"/>
      <c r="M69" s="104"/>
    </row>
    <row r="70" spans="2:13">
      <c r="B70" s="204"/>
      <c r="C70" s="205"/>
      <c r="D70" s="206"/>
      <c r="E70" s="207"/>
      <c r="F70" s="207"/>
      <c r="G70" s="206"/>
      <c r="H70" s="103"/>
      <c r="I70" s="103"/>
      <c r="J70" s="103"/>
      <c r="K70" s="103"/>
      <c r="L70" s="103"/>
      <c r="M70" s="103"/>
    </row>
    <row r="71" spans="2:13">
      <c r="B71" s="204"/>
      <c r="C71" s="205"/>
      <c r="D71" s="206"/>
      <c r="E71" s="207"/>
      <c r="F71" s="207"/>
      <c r="G71" s="206"/>
      <c r="H71" s="103"/>
      <c r="I71" s="103"/>
      <c r="J71" s="103"/>
      <c r="K71" s="103"/>
      <c r="L71" s="103"/>
      <c r="M71" s="103"/>
    </row>
    <row r="72" spans="2:13">
      <c r="B72" s="208"/>
      <c r="C72" s="88"/>
      <c r="D72" s="209"/>
      <c r="E72" s="86"/>
      <c r="F72" s="207"/>
      <c r="G72" s="209"/>
      <c r="H72" s="104"/>
      <c r="I72" s="103"/>
      <c r="J72" s="104"/>
      <c r="K72" s="104"/>
      <c r="L72" s="104"/>
      <c r="M72" s="104"/>
    </row>
    <row r="73" spans="2:13">
      <c r="B73" s="208"/>
      <c r="C73" s="88"/>
      <c r="D73" s="209"/>
      <c r="E73" s="86"/>
      <c r="F73" s="86"/>
      <c r="G73" s="209"/>
      <c r="H73" s="104"/>
      <c r="I73" s="104"/>
      <c r="J73" s="104"/>
      <c r="K73" s="104"/>
      <c r="L73" s="104"/>
      <c r="M73" s="104"/>
    </row>
    <row r="74" spans="2:13">
      <c r="B74" s="208"/>
      <c r="C74" s="88"/>
      <c r="D74" s="209"/>
      <c r="E74" s="86"/>
      <c r="F74" s="86"/>
      <c r="G74" s="209"/>
      <c r="H74" s="104"/>
      <c r="I74" s="104"/>
      <c r="J74" s="104"/>
      <c r="K74" s="104"/>
      <c r="L74" s="104"/>
      <c r="M74" s="104"/>
    </row>
    <row r="75" spans="2:13">
      <c r="B75" s="208"/>
      <c r="C75" s="88"/>
      <c r="D75" s="209"/>
      <c r="E75" s="86"/>
      <c r="F75" s="86"/>
      <c r="G75" s="209"/>
      <c r="H75" s="104"/>
      <c r="I75" s="104"/>
      <c r="J75" s="104"/>
      <c r="K75" s="104"/>
      <c r="L75" s="104"/>
      <c r="M75" s="104"/>
    </row>
    <row r="76" spans="2:13">
      <c r="B76" s="208"/>
      <c r="C76" s="88"/>
      <c r="D76" s="209"/>
      <c r="E76" s="86"/>
      <c r="F76" s="86"/>
      <c r="G76" s="209"/>
      <c r="H76" s="104"/>
      <c r="I76" s="104"/>
      <c r="J76" s="104"/>
      <c r="K76" s="104"/>
      <c r="L76" s="104"/>
      <c r="M76" s="104"/>
    </row>
    <row r="77" spans="2:13">
      <c r="B77" s="208"/>
      <c r="C77" s="88"/>
      <c r="D77" s="209"/>
      <c r="E77" s="86"/>
      <c r="F77" s="86"/>
      <c r="G77" s="209"/>
      <c r="H77" s="104"/>
      <c r="I77" s="104"/>
      <c r="J77" s="104"/>
      <c r="K77" s="104"/>
      <c r="L77" s="104"/>
      <c r="M77" s="104"/>
    </row>
    <row r="78" spans="2:13">
      <c r="B78" s="208"/>
      <c r="C78" s="88"/>
      <c r="D78" s="209"/>
      <c r="E78" s="86"/>
      <c r="F78" s="86"/>
      <c r="G78" s="209"/>
      <c r="H78" s="104"/>
      <c r="I78" s="104"/>
      <c r="J78" s="104"/>
      <c r="K78" s="104"/>
      <c r="L78" s="104"/>
      <c r="M78" s="104"/>
    </row>
    <row r="79" spans="2:13">
      <c r="B79" s="208"/>
      <c r="C79" s="88"/>
      <c r="D79" s="209"/>
      <c r="E79" s="86"/>
      <c r="F79" s="86"/>
      <c r="G79" s="209"/>
      <c r="H79" s="104"/>
      <c r="I79" s="104"/>
      <c r="J79" s="104"/>
      <c r="K79" s="104"/>
      <c r="L79" s="104"/>
      <c r="M79" s="104"/>
    </row>
    <row r="80" spans="2:13">
      <c r="B80" s="208"/>
      <c r="C80" s="88"/>
      <c r="D80" s="209"/>
      <c r="E80" s="86"/>
      <c r="F80" s="86"/>
      <c r="G80" s="209"/>
      <c r="H80" s="104"/>
      <c r="I80" s="104"/>
      <c r="J80" s="104"/>
      <c r="K80" s="104"/>
      <c r="L80" s="104"/>
      <c r="M80" s="104"/>
    </row>
    <row r="81" spans="2:13">
      <c r="B81" s="208"/>
      <c r="C81" s="88"/>
      <c r="D81" s="209"/>
      <c r="E81" s="86"/>
      <c r="F81" s="86"/>
      <c r="G81" s="209"/>
      <c r="H81" s="104"/>
      <c r="I81" s="104"/>
      <c r="J81" s="104"/>
      <c r="K81" s="104"/>
      <c r="L81" s="104"/>
      <c r="M81" s="104"/>
    </row>
    <row r="82" spans="2:13">
      <c r="B82" s="208"/>
      <c r="C82" s="88"/>
      <c r="D82" s="209"/>
      <c r="E82" s="86"/>
      <c r="F82" s="86"/>
      <c r="G82" s="209"/>
      <c r="H82" s="104"/>
      <c r="I82" s="104"/>
      <c r="J82" s="104"/>
      <c r="K82" s="104"/>
      <c r="L82" s="104"/>
      <c r="M82" s="104"/>
    </row>
    <row r="83" spans="2:13">
      <c r="B83" s="208"/>
      <c r="C83" s="88"/>
      <c r="D83" s="209"/>
      <c r="E83" s="86"/>
      <c r="F83" s="86"/>
      <c r="G83" s="209"/>
      <c r="H83" s="104"/>
      <c r="I83" s="104"/>
      <c r="J83" s="104"/>
      <c r="K83" s="104"/>
      <c r="L83" s="104"/>
      <c r="M83" s="104"/>
    </row>
    <row r="84" spans="2:13">
      <c r="B84" s="208"/>
      <c r="C84" s="88"/>
      <c r="D84" s="209"/>
      <c r="E84" s="86"/>
      <c r="F84" s="86"/>
      <c r="G84" s="209"/>
      <c r="H84" s="104"/>
      <c r="I84" s="104"/>
      <c r="J84" s="104"/>
      <c r="K84" s="104"/>
      <c r="L84" s="104"/>
      <c r="M84" s="104"/>
    </row>
    <row r="85" spans="2:13">
      <c r="B85" s="208"/>
      <c r="C85" s="88"/>
      <c r="D85" s="209"/>
      <c r="E85" s="86"/>
      <c r="F85" s="86"/>
      <c r="G85" s="209"/>
      <c r="H85" s="104"/>
      <c r="I85" s="104"/>
      <c r="J85" s="104"/>
      <c r="K85" s="104"/>
      <c r="L85" s="104"/>
      <c r="M85" s="104"/>
    </row>
    <row r="86" spans="2:13">
      <c r="B86" s="208"/>
      <c r="C86" s="88"/>
      <c r="D86" s="209"/>
      <c r="E86" s="86"/>
      <c r="F86" s="86"/>
      <c r="G86" s="209"/>
      <c r="H86" s="104"/>
      <c r="I86" s="104"/>
      <c r="J86" s="104"/>
      <c r="K86" s="104"/>
      <c r="L86" s="104"/>
      <c r="M86" s="104"/>
    </row>
    <row r="87" spans="2:13">
      <c r="B87" s="208"/>
      <c r="C87" s="88"/>
      <c r="D87" s="209"/>
      <c r="E87" s="86"/>
      <c r="F87" s="86"/>
      <c r="G87" s="209"/>
      <c r="H87" s="104"/>
      <c r="I87" s="104"/>
      <c r="J87" s="104"/>
      <c r="K87" s="104"/>
      <c r="L87" s="104"/>
      <c r="M87" s="104"/>
    </row>
    <row r="88" spans="2:13">
      <c r="B88" s="208"/>
      <c r="C88" s="88"/>
      <c r="D88" s="209"/>
      <c r="E88" s="86"/>
      <c r="F88" s="86"/>
      <c r="G88" s="209"/>
      <c r="H88" s="104"/>
      <c r="I88" s="104"/>
      <c r="J88" s="104"/>
      <c r="K88" s="104"/>
      <c r="L88" s="104"/>
      <c r="M88" s="104"/>
    </row>
    <row r="89" spans="2:13">
      <c r="B89" s="208"/>
      <c r="C89" s="88"/>
      <c r="D89" s="209"/>
      <c r="E89" s="86"/>
      <c r="F89" s="86"/>
      <c r="G89" s="209"/>
      <c r="H89" s="104"/>
      <c r="I89" s="104"/>
      <c r="J89" s="104"/>
      <c r="K89" s="104"/>
      <c r="L89" s="104"/>
      <c r="M89" s="104"/>
    </row>
    <row r="90" spans="2:13">
      <c r="B90" s="208"/>
      <c r="C90" s="88"/>
      <c r="D90" s="209"/>
      <c r="E90" s="86"/>
      <c r="F90" s="86"/>
      <c r="G90" s="209"/>
      <c r="H90" s="104"/>
      <c r="I90" s="104"/>
      <c r="J90" s="104"/>
      <c r="K90" s="104"/>
      <c r="L90" s="104"/>
      <c r="M90" s="104"/>
    </row>
    <row r="91" spans="2:13">
      <c r="B91" s="208"/>
      <c r="C91" s="88"/>
      <c r="D91" s="209"/>
      <c r="E91" s="86"/>
      <c r="F91" s="86"/>
      <c r="G91" s="209"/>
      <c r="H91" s="104"/>
      <c r="I91" s="104"/>
      <c r="J91" s="104"/>
      <c r="K91" s="104"/>
      <c r="L91" s="104"/>
      <c r="M91" s="104"/>
    </row>
    <row r="92" spans="2:13">
      <c r="B92" s="208"/>
      <c r="C92" s="88"/>
      <c r="D92" s="209"/>
      <c r="E92" s="86"/>
      <c r="F92" s="86"/>
      <c r="G92" s="209"/>
      <c r="H92" s="104"/>
      <c r="I92" s="104"/>
      <c r="J92" s="104"/>
      <c r="K92" s="104"/>
      <c r="L92" s="104"/>
      <c r="M92" s="104"/>
    </row>
    <row r="93" spans="2:13">
      <c r="B93" s="208"/>
      <c r="C93" s="88"/>
      <c r="D93" s="209"/>
      <c r="E93" s="86"/>
      <c r="F93" s="86"/>
      <c r="G93" s="209"/>
      <c r="H93" s="104"/>
      <c r="I93" s="104"/>
      <c r="J93" s="104"/>
      <c r="K93" s="104"/>
      <c r="L93" s="104"/>
      <c r="M93" s="104"/>
    </row>
    <row r="94" spans="2:13">
      <c r="B94" s="208"/>
      <c r="C94" s="88"/>
      <c r="D94" s="209"/>
      <c r="E94" s="86"/>
      <c r="F94" s="86"/>
      <c r="G94" s="209"/>
      <c r="H94" s="104"/>
      <c r="I94" s="104"/>
      <c r="J94" s="104"/>
      <c r="K94" s="104"/>
      <c r="L94" s="104"/>
      <c r="M94" s="104"/>
    </row>
    <row r="95" spans="2:13">
      <c r="B95" s="208"/>
      <c r="C95" s="88"/>
      <c r="D95" s="209"/>
      <c r="E95" s="86"/>
      <c r="F95" s="86"/>
      <c r="G95" s="209"/>
      <c r="H95" s="104"/>
      <c r="I95" s="104"/>
      <c r="J95" s="104"/>
      <c r="K95" s="104"/>
      <c r="L95" s="104"/>
      <c r="M95" s="104"/>
    </row>
    <row r="96" spans="2:13">
      <c r="B96" s="208"/>
      <c r="C96" s="88"/>
      <c r="D96" s="209"/>
      <c r="E96" s="86"/>
      <c r="F96" s="86"/>
      <c r="G96" s="209"/>
      <c r="H96" s="104"/>
      <c r="I96" s="104"/>
      <c r="J96" s="104"/>
      <c r="K96" s="104"/>
      <c r="L96" s="104"/>
      <c r="M96" s="104"/>
    </row>
    <row r="97" spans="2:13">
      <c r="B97" s="208"/>
      <c r="C97" s="88"/>
      <c r="D97" s="209"/>
      <c r="E97" s="86"/>
      <c r="F97" s="86"/>
      <c r="G97" s="209"/>
      <c r="H97" s="104"/>
      <c r="I97" s="104"/>
      <c r="J97" s="104"/>
      <c r="K97" s="104"/>
      <c r="L97" s="104"/>
      <c r="M97" s="104"/>
    </row>
    <row r="98" spans="2:13">
      <c r="B98" s="208"/>
      <c r="C98" s="88"/>
      <c r="D98" s="209"/>
      <c r="E98" s="86"/>
      <c r="F98" s="86"/>
      <c r="G98" s="209"/>
      <c r="H98" s="104"/>
      <c r="I98" s="104"/>
      <c r="J98" s="104"/>
      <c r="K98" s="104"/>
      <c r="L98" s="104"/>
      <c r="M98" s="104"/>
    </row>
    <row r="99" spans="2:13">
      <c r="B99" s="208"/>
      <c r="C99" s="88"/>
      <c r="D99" s="209"/>
      <c r="E99" s="86"/>
      <c r="F99" s="86"/>
      <c r="G99" s="209"/>
      <c r="H99" s="104"/>
      <c r="I99" s="104"/>
      <c r="J99" s="104"/>
      <c r="K99" s="104"/>
      <c r="L99" s="104"/>
      <c r="M99" s="104"/>
    </row>
    <row r="100" spans="2:13">
      <c r="B100" s="208"/>
      <c r="C100" s="88"/>
      <c r="D100" s="209"/>
      <c r="E100" s="86"/>
      <c r="F100" s="86"/>
      <c r="G100" s="209"/>
      <c r="H100" s="104"/>
      <c r="I100" s="104"/>
      <c r="J100" s="104"/>
      <c r="K100" s="104"/>
      <c r="L100" s="104"/>
      <c r="M100" s="104"/>
    </row>
    <row r="101" spans="2:13">
      <c r="B101" s="208"/>
      <c r="C101" s="88"/>
      <c r="D101" s="209"/>
      <c r="E101" s="86"/>
      <c r="F101" s="86"/>
      <c r="G101" s="209"/>
      <c r="H101" s="104"/>
      <c r="I101" s="104"/>
      <c r="J101" s="104"/>
      <c r="K101" s="104"/>
      <c r="L101" s="104"/>
      <c r="M101" s="104"/>
    </row>
    <row r="102" spans="2:13">
      <c r="B102" s="208"/>
      <c r="C102" s="88"/>
      <c r="D102" s="209"/>
      <c r="E102" s="86"/>
      <c r="F102" s="86"/>
      <c r="G102" s="209"/>
      <c r="H102" s="104"/>
      <c r="I102" s="104"/>
      <c r="J102" s="104"/>
      <c r="K102" s="104"/>
      <c r="L102" s="104"/>
      <c r="M102" s="104"/>
    </row>
    <row r="103" spans="2:13">
      <c r="B103" s="208"/>
      <c r="C103" s="88"/>
      <c r="D103" s="209"/>
      <c r="E103" s="86"/>
      <c r="F103" s="86"/>
      <c r="G103" s="209"/>
      <c r="H103" s="104"/>
      <c r="I103" s="104"/>
      <c r="J103" s="104"/>
      <c r="K103" s="104"/>
      <c r="L103" s="104"/>
      <c r="M103" s="104"/>
    </row>
    <row r="104" spans="2:13">
      <c r="B104" s="208"/>
      <c r="C104" s="88"/>
      <c r="D104" s="209"/>
      <c r="E104" s="86"/>
      <c r="F104" s="86"/>
      <c r="G104" s="209"/>
      <c r="H104" s="104"/>
      <c r="I104" s="104"/>
      <c r="J104" s="104"/>
      <c r="K104" s="104"/>
      <c r="L104" s="104"/>
      <c r="M104" s="104"/>
    </row>
  </sheetData>
  <sheetProtection algorithmName="SHA-512" hashValue="bEMZ2UtlIiEvtqZGmzCBt2qP6mf6CUqF7LMVo7wHCU0W/nhd3/CM9vACNMrXfOc8y/+vcevZJGAB3nAmJy84tg==" saltValue="mZVf7S2osDi2sgdDUQsaGw==" spinCount="100000" sheet="1" scenarios="1" formatCells="0" formatColumns="0" formatRows="0"/>
  <mergeCells count="9">
    <mergeCell ref="B36:B43"/>
    <mergeCell ref="J56:M56"/>
    <mergeCell ref="C3:F3"/>
    <mergeCell ref="A4:F4"/>
    <mergeCell ref="C5:F5"/>
    <mergeCell ref="A12:A35"/>
    <mergeCell ref="B12:B19"/>
    <mergeCell ref="B20:B27"/>
    <mergeCell ref="B28:B35"/>
  </mergeCells>
  <dataValidations count="2">
    <dataValidation type="list" allowBlank="1" showInputMessage="1" showErrorMessage="1" errorTitle="please choose one" promptTitle="please choose one" sqref="I58:I104" xr:uid="{00000000-0002-0000-0700-000000000000}">
      <formula1>"ST,MT,LT"</formula1>
    </dataValidation>
    <dataValidation type="list" allowBlank="1" showInputMessage="1" showErrorMessage="1" errorTitle="please choose one" promptTitle="please choose one" sqref="H58:H64" xr:uid="{00000000-0002-0000-0700-000001000000}">
      <formula1>"4A,4B,4C,4D,4E,4F,5A,5B,5C,5D,6A,6B,6C,6D,7"</formula1>
    </dataValidation>
  </dataValidations>
  <pageMargins left="0.38" right="0.28000000000000003" top="0.77" bottom="1" header="0.5" footer="0.5"/>
  <pageSetup paperSize="9" orientation="portrait" r:id="rId1"/>
  <headerFooter alignWithMargins="0">
    <oddHeader>&amp;C&amp;"Calibri"&amp;12&amp;K000000 CONFIDENTIAL&amp;1#_x000D_</oddHeader>
    <oddFooter>&amp;L&amp;"Arial,Bold"&amp;8Corp. Organization &amp; Human Capital Development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List Box 1">
              <controlPr defaultSize="0" autoLine="0" autoPict="0">
                <anchor moveWithCells="1">
                  <from>
                    <xdr:col>5</xdr:col>
                    <xdr:colOff>107950</xdr:colOff>
                    <xdr:row>12</xdr:row>
                    <xdr:rowOff>19050</xdr:rowOff>
                  </from>
                  <to>
                    <xdr:col>5</xdr:col>
                    <xdr:colOff>2876550</xdr:colOff>
                    <xdr:row>18</xdr:row>
                    <xdr:rowOff>19050</xdr:rowOff>
                  </to>
                </anchor>
              </controlPr>
            </control>
          </mc:Choice>
        </mc:AlternateContent>
        <mc:AlternateContent xmlns:mc="http://schemas.openxmlformats.org/markup-compatibility/2006">
          <mc:Choice Requires="x14">
            <control shapeId="17410" r:id="rId5" name="List Box 2">
              <controlPr defaultSize="0" autoLine="0" autoPict="0">
                <anchor moveWithCells="1">
                  <from>
                    <xdr:col>4</xdr:col>
                    <xdr:colOff>57150</xdr:colOff>
                    <xdr:row>12</xdr:row>
                    <xdr:rowOff>19050</xdr:rowOff>
                  </from>
                  <to>
                    <xdr:col>4</xdr:col>
                    <xdr:colOff>2838450</xdr:colOff>
                    <xdr:row>18</xdr:row>
                    <xdr:rowOff>19050</xdr:rowOff>
                  </to>
                </anchor>
              </controlPr>
            </control>
          </mc:Choice>
        </mc:AlternateContent>
        <mc:AlternateContent xmlns:mc="http://schemas.openxmlformats.org/markup-compatibility/2006">
          <mc:Choice Requires="x14">
            <control shapeId="17411" r:id="rId6" name="List Box 3">
              <controlPr defaultSize="0" autoLine="0" autoPict="0">
                <anchor moveWithCells="1">
                  <from>
                    <xdr:col>3</xdr:col>
                    <xdr:colOff>95250</xdr:colOff>
                    <xdr:row>12</xdr:row>
                    <xdr:rowOff>19050</xdr:rowOff>
                  </from>
                  <to>
                    <xdr:col>3</xdr:col>
                    <xdr:colOff>2876550</xdr:colOff>
                    <xdr:row>18</xdr:row>
                    <xdr:rowOff>19050</xdr:rowOff>
                  </to>
                </anchor>
              </controlPr>
            </control>
          </mc:Choice>
        </mc:AlternateContent>
        <mc:AlternateContent xmlns:mc="http://schemas.openxmlformats.org/markup-compatibility/2006">
          <mc:Choice Requires="x14">
            <control shapeId="17412" r:id="rId7" name="List Box 4">
              <controlPr defaultSize="0" autoLine="0" autoPict="0">
                <anchor moveWithCells="1">
                  <from>
                    <xdr:col>2</xdr:col>
                    <xdr:colOff>95250</xdr:colOff>
                    <xdr:row>12</xdr:row>
                    <xdr:rowOff>19050</xdr:rowOff>
                  </from>
                  <to>
                    <xdr:col>2</xdr:col>
                    <xdr:colOff>2857500</xdr:colOff>
                    <xdr:row>18</xdr:row>
                    <xdr:rowOff>19050</xdr:rowOff>
                  </to>
                </anchor>
              </controlPr>
            </control>
          </mc:Choice>
        </mc:AlternateContent>
        <mc:AlternateContent xmlns:mc="http://schemas.openxmlformats.org/markup-compatibility/2006">
          <mc:Choice Requires="x14">
            <control shapeId="17413" r:id="rId8" name="List Box 5">
              <controlPr defaultSize="0" autoLine="0" autoPict="0">
                <anchor moveWithCells="1">
                  <from>
                    <xdr:col>5</xdr:col>
                    <xdr:colOff>133350</xdr:colOff>
                    <xdr:row>20</xdr:row>
                    <xdr:rowOff>0</xdr:rowOff>
                  </from>
                  <to>
                    <xdr:col>5</xdr:col>
                    <xdr:colOff>2895600</xdr:colOff>
                    <xdr:row>26</xdr:row>
                    <xdr:rowOff>0</xdr:rowOff>
                  </to>
                </anchor>
              </controlPr>
            </control>
          </mc:Choice>
        </mc:AlternateContent>
        <mc:AlternateContent xmlns:mc="http://schemas.openxmlformats.org/markup-compatibility/2006">
          <mc:Choice Requires="x14">
            <control shapeId="17414" r:id="rId9" name="List Box 6">
              <controlPr defaultSize="0" autoLine="0" autoPict="0">
                <anchor moveWithCells="1">
                  <from>
                    <xdr:col>4</xdr:col>
                    <xdr:colOff>76200</xdr:colOff>
                    <xdr:row>20</xdr:row>
                    <xdr:rowOff>19050</xdr:rowOff>
                  </from>
                  <to>
                    <xdr:col>4</xdr:col>
                    <xdr:colOff>2851150</xdr:colOff>
                    <xdr:row>26</xdr:row>
                    <xdr:rowOff>19050</xdr:rowOff>
                  </to>
                </anchor>
              </controlPr>
            </control>
          </mc:Choice>
        </mc:AlternateContent>
        <mc:AlternateContent xmlns:mc="http://schemas.openxmlformats.org/markup-compatibility/2006">
          <mc:Choice Requires="x14">
            <control shapeId="17415" r:id="rId10" name="List Box 7">
              <controlPr defaultSize="0" autoLine="0" autoPict="0">
                <anchor moveWithCells="1">
                  <from>
                    <xdr:col>3</xdr:col>
                    <xdr:colOff>114300</xdr:colOff>
                    <xdr:row>20</xdr:row>
                    <xdr:rowOff>19050</xdr:rowOff>
                  </from>
                  <to>
                    <xdr:col>3</xdr:col>
                    <xdr:colOff>2889250</xdr:colOff>
                    <xdr:row>26</xdr:row>
                    <xdr:rowOff>19050</xdr:rowOff>
                  </to>
                </anchor>
              </controlPr>
            </control>
          </mc:Choice>
        </mc:AlternateContent>
        <mc:AlternateContent xmlns:mc="http://schemas.openxmlformats.org/markup-compatibility/2006">
          <mc:Choice Requires="x14">
            <control shapeId="17416" r:id="rId11" name="List Box 8">
              <controlPr defaultSize="0" autoLine="0" autoPict="0">
                <anchor moveWithCells="1">
                  <from>
                    <xdr:col>2</xdr:col>
                    <xdr:colOff>107950</xdr:colOff>
                    <xdr:row>20</xdr:row>
                    <xdr:rowOff>19050</xdr:rowOff>
                  </from>
                  <to>
                    <xdr:col>2</xdr:col>
                    <xdr:colOff>2876550</xdr:colOff>
                    <xdr:row>26</xdr:row>
                    <xdr:rowOff>19050</xdr:rowOff>
                  </to>
                </anchor>
              </controlPr>
            </control>
          </mc:Choice>
        </mc:AlternateContent>
        <mc:AlternateContent xmlns:mc="http://schemas.openxmlformats.org/markup-compatibility/2006">
          <mc:Choice Requires="x14">
            <control shapeId="17417" r:id="rId12" name="List Box 9">
              <controlPr defaultSize="0" autoLine="0" autoPict="0">
                <anchor moveWithCells="1">
                  <from>
                    <xdr:col>5</xdr:col>
                    <xdr:colOff>133350</xdr:colOff>
                    <xdr:row>28</xdr:row>
                    <xdr:rowOff>31750</xdr:rowOff>
                  </from>
                  <to>
                    <xdr:col>5</xdr:col>
                    <xdr:colOff>2895600</xdr:colOff>
                    <xdr:row>34</xdr:row>
                    <xdr:rowOff>31750</xdr:rowOff>
                  </to>
                </anchor>
              </controlPr>
            </control>
          </mc:Choice>
        </mc:AlternateContent>
        <mc:AlternateContent xmlns:mc="http://schemas.openxmlformats.org/markup-compatibility/2006">
          <mc:Choice Requires="x14">
            <control shapeId="17418" r:id="rId13" name="List Box 10">
              <controlPr defaultSize="0" autoLine="0" autoPict="0">
                <anchor moveWithCells="1">
                  <from>
                    <xdr:col>4</xdr:col>
                    <xdr:colOff>76200</xdr:colOff>
                    <xdr:row>28</xdr:row>
                    <xdr:rowOff>31750</xdr:rowOff>
                  </from>
                  <to>
                    <xdr:col>4</xdr:col>
                    <xdr:colOff>2851150</xdr:colOff>
                    <xdr:row>34</xdr:row>
                    <xdr:rowOff>31750</xdr:rowOff>
                  </to>
                </anchor>
              </controlPr>
            </control>
          </mc:Choice>
        </mc:AlternateContent>
        <mc:AlternateContent xmlns:mc="http://schemas.openxmlformats.org/markup-compatibility/2006">
          <mc:Choice Requires="x14">
            <control shapeId="17419" r:id="rId14" name="List Box 11">
              <controlPr defaultSize="0" autoLine="0" autoPict="0">
                <anchor moveWithCells="1">
                  <from>
                    <xdr:col>3</xdr:col>
                    <xdr:colOff>114300</xdr:colOff>
                    <xdr:row>28</xdr:row>
                    <xdr:rowOff>31750</xdr:rowOff>
                  </from>
                  <to>
                    <xdr:col>3</xdr:col>
                    <xdr:colOff>2889250</xdr:colOff>
                    <xdr:row>34</xdr:row>
                    <xdr:rowOff>31750</xdr:rowOff>
                  </to>
                </anchor>
              </controlPr>
            </control>
          </mc:Choice>
        </mc:AlternateContent>
        <mc:AlternateContent xmlns:mc="http://schemas.openxmlformats.org/markup-compatibility/2006">
          <mc:Choice Requires="x14">
            <control shapeId="17420" r:id="rId15" name="List Box 12">
              <controlPr defaultSize="0" autoLine="0" autoPict="0">
                <anchor moveWithCells="1">
                  <from>
                    <xdr:col>2</xdr:col>
                    <xdr:colOff>107950</xdr:colOff>
                    <xdr:row>28</xdr:row>
                    <xdr:rowOff>38100</xdr:rowOff>
                  </from>
                  <to>
                    <xdr:col>2</xdr:col>
                    <xdr:colOff>2876550</xdr:colOff>
                    <xdr:row>34</xdr:row>
                    <xdr:rowOff>38100</xdr:rowOff>
                  </to>
                </anchor>
              </controlPr>
            </control>
          </mc:Choice>
        </mc:AlternateContent>
        <mc:AlternateContent xmlns:mc="http://schemas.openxmlformats.org/markup-compatibility/2006">
          <mc:Choice Requires="x14">
            <control shapeId="17421" r:id="rId16" name="List Box 13">
              <controlPr defaultSize="0" autoLine="0" autoPict="0">
                <anchor moveWithCells="1">
                  <from>
                    <xdr:col>5</xdr:col>
                    <xdr:colOff>114300</xdr:colOff>
                    <xdr:row>36</xdr:row>
                    <xdr:rowOff>19050</xdr:rowOff>
                  </from>
                  <to>
                    <xdr:col>5</xdr:col>
                    <xdr:colOff>2889250</xdr:colOff>
                    <xdr:row>42</xdr:row>
                    <xdr:rowOff>19050</xdr:rowOff>
                  </to>
                </anchor>
              </controlPr>
            </control>
          </mc:Choice>
        </mc:AlternateContent>
        <mc:AlternateContent xmlns:mc="http://schemas.openxmlformats.org/markup-compatibility/2006">
          <mc:Choice Requires="x14">
            <control shapeId="17422" r:id="rId17" name="List Box 14">
              <controlPr defaultSize="0" autoLine="0" autoPict="0">
                <anchor moveWithCells="1">
                  <from>
                    <xdr:col>4</xdr:col>
                    <xdr:colOff>69850</xdr:colOff>
                    <xdr:row>36</xdr:row>
                    <xdr:rowOff>31750</xdr:rowOff>
                  </from>
                  <to>
                    <xdr:col>4</xdr:col>
                    <xdr:colOff>2838450</xdr:colOff>
                    <xdr:row>42</xdr:row>
                    <xdr:rowOff>31750</xdr:rowOff>
                  </to>
                </anchor>
              </controlPr>
            </control>
          </mc:Choice>
        </mc:AlternateContent>
        <mc:AlternateContent xmlns:mc="http://schemas.openxmlformats.org/markup-compatibility/2006">
          <mc:Choice Requires="x14">
            <control shapeId="17423" r:id="rId18" name="List Box 15">
              <controlPr defaultSize="0" autoLine="0" autoPict="0">
                <anchor moveWithCells="1">
                  <from>
                    <xdr:col>3</xdr:col>
                    <xdr:colOff>107950</xdr:colOff>
                    <xdr:row>36</xdr:row>
                    <xdr:rowOff>31750</xdr:rowOff>
                  </from>
                  <to>
                    <xdr:col>3</xdr:col>
                    <xdr:colOff>2876550</xdr:colOff>
                    <xdr:row>42</xdr:row>
                    <xdr:rowOff>31750</xdr:rowOff>
                  </to>
                </anchor>
              </controlPr>
            </control>
          </mc:Choice>
        </mc:AlternateContent>
        <mc:AlternateContent xmlns:mc="http://schemas.openxmlformats.org/markup-compatibility/2006">
          <mc:Choice Requires="x14">
            <control shapeId="17424" r:id="rId19" name="List Box 16">
              <controlPr defaultSize="0" autoLine="0" autoPict="0">
                <anchor moveWithCells="1">
                  <from>
                    <xdr:col>2</xdr:col>
                    <xdr:colOff>95250</xdr:colOff>
                    <xdr:row>36</xdr:row>
                    <xdr:rowOff>38100</xdr:rowOff>
                  </from>
                  <to>
                    <xdr:col>2</xdr:col>
                    <xdr:colOff>2876550</xdr:colOff>
                    <xdr:row>42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B6:J36"/>
  <sheetViews>
    <sheetView showGridLines="0" topLeftCell="A5" workbookViewId="0">
      <selection activeCell="L19" sqref="L19"/>
    </sheetView>
  </sheetViews>
  <sheetFormatPr defaultColWidth="9.26953125" defaultRowHeight="12.5"/>
  <cols>
    <col min="1" max="9" width="9.26953125" style="80"/>
    <col min="10" max="10" width="25.7265625" style="80" bestFit="1" customWidth="1"/>
    <col min="11" max="16384" width="9.26953125" style="80"/>
  </cols>
  <sheetData>
    <row r="6" spans="2:10">
      <c r="C6" s="84" t="s">
        <v>219</v>
      </c>
      <c r="D6" s="84" t="s">
        <v>220</v>
      </c>
      <c r="E6" s="84" t="s">
        <v>221</v>
      </c>
      <c r="F6" s="84" t="s">
        <v>222</v>
      </c>
      <c r="G6" s="84">
        <v>0</v>
      </c>
      <c r="I6" s="84">
        <v>1</v>
      </c>
      <c r="J6" s="85" t="s">
        <v>223</v>
      </c>
    </row>
    <row r="7" spans="2:10">
      <c r="B7" s="86" t="s">
        <v>224</v>
      </c>
      <c r="C7" s="86">
        <v>13</v>
      </c>
      <c r="D7" s="86">
        <v>7</v>
      </c>
      <c r="E7" s="86">
        <v>3</v>
      </c>
      <c r="F7" s="86">
        <v>1</v>
      </c>
      <c r="G7" s="86">
        <v>0</v>
      </c>
      <c r="I7" s="86">
        <v>2</v>
      </c>
      <c r="J7" s="85" t="s">
        <v>225</v>
      </c>
    </row>
    <row r="8" spans="2:10">
      <c r="B8" s="86" t="s">
        <v>226</v>
      </c>
      <c r="C8" s="86">
        <v>14</v>
      </c>
      <c r="D8" s="86">
        <v>8</v>
      </c>
      <c r="E8" s="86">
        <v>4</v>
      </c>
      <c r="F8" s="86">
        <v>2</v>
      </c>
      <c r="G8" s="86">
        <v>0</v>
      </c>
      <c r="I8" s="86">
        <v>3</v>
      </c>
      <c r="J8" s="85" t="s">
        <v>225</v>
      </c>
    </row>
    <row r="9" spans="2:10">
      <c r="B9" s="86" t="s">
        <v>227</v>
      </c>
      <c r="C9" s="86">
        <v>15</v>
      </c>
      <c r="D9" s="86">
        <v>9</v>
      </c>
      <c r="E9" s="86">
        <v>6</v>
      </c>
      <c r="F9" s="86">
        <v>5</v>
      </c>
      <c r="G9" s="86">
        <v>0</v>
      </c>
      <c r="I9" s="86">
        <v>4</v>
      </c>
      <c r="J9" s="85" t="s">
        <v>228</v>
      </c>
    </row>
    <row r="10" spans="2:10">
      <c r="B10" s="86" t="s">
        <v>229</v>
      </c>
      <c r="C10" s="86">
        <v>16</v>
      </c>
      <c r="D10" s="86">
        <v>12</v>
      </c>
      <c r="E10" s="86">
        <v>11</v>
      </c>
      <c r="F10" s="86">
        <v>10</v>
      </c>
      <c r="G10" s="86">
        <v>0</v>
      </c>
      <c r="I10" s="86">
        <v>5</v>
      </c>
      <c r="J10" s="85" t="s">
        <v>230</v>
      </c>
    </row>
    <row r="11" spans="2:10">
      <c r="C11" s="86">
        <v>0</v>
      </c>
      <c r="D11" s="86">
        <v>0</v>
      </c>
      <c r="E11" s="86">
        <v>0</v>
      </c>
      <c r="F11" s="86">
        <v>0</v>
      </c>
      <c r="G11" s="86">
        <v>0</v>
      </c>
      <c r="I11" s="86">
        <v>6</v>
      </c>
      <c r="J11" s="85" t="s">
        <v>231</v>
      </c>
    </row>
    <row r="12" spans="2:10">
      <c r="I12" s="86">
        <v>7</v>
      </c>
      <c r="J12" s="85" t="s">
        <v>232</v>
      </c>
    </row>
    <row r="13" spans="2:10">
      <c r="B13" s="87"/>
      <c r="C13" s="87"/>
      <c r="D13" s="87"/>
      <c r="E13" s="87"/>
      <c r="F13" s="87"/>
      <c r="I13" s="86">
        <v>8</v>
      </c>
      <c r="J13" s="85" t="s">
        <v>233</v>
      </c>
    </row>
    <row r="14" spans="2:10">
      <c r="B14" s="88" t="s">
        <v>219</v>
      </c>
      <c r="C14" s="86">
        <v>2</v>
      </c>
      <c r="D14" s="87"/>
      <c r="F14" s="84">
        <v>5</v>
      </c>
      <c r="I14" s="86">
        <v>9</v>
      </c>
      <c r="J14" s="85" t="s">
        <v>234</v>
      </c>
    </row>
    <row r="15" spans="2:10">
      <c r="B15" s="86" t="s">
        <v>220</v>
      </c>
      <c r="C15" s="86">
        <v>3</v>
      </c>
      <c r="D15" s="87"/>
      <c r="F15" s="84">
        <f>9/2</f>
        <v>4.5</v>
      </c>
      <c r="I15" s="86">
        <v>10</v>
      </c>
      <c r="J15" s="85" t="s">
        <v>235</v>
      </c>
    </row>
    <row r="16" spans="2:10">
      <c r="B16" s="86" t="s">
        <v>221</v>
      </c>
      <c r="C16" s="86">
        <v>4</v>
      </c>
      <c r="D16" s="87"/>
      <c r="F16" s="84">
        <v>4</v>
      </c>
      <c r="I16" s="86">
        <v>11</v>
      </c>
      <c r="J16" s="85" t="s">
        <v>236</v>
      </c>
    </row>
    <row r="17" spans="2:10">
      <c r="B17" s="86" t="s">
        <v>222</v>
      </c>
      <c r="C17" s="86">
        <v>5</v>
      </c>
      <c r="D17" s="87"/>
      <c r="E17" s="87"/>
      <c r="F17" s="86">
        <f>7/2</f>
        <v>3.5</v>
      </c>
      <c r="I17" s="84">
        <v>12</v>
      </c>
      <c r="J17" s="85" t="s">
        <v>237</v>
      </c>
    </row>
    <row r="18" spans="2:10">
      <c r="B18" s="86">
        <v>0</v>
      </c>
      <c r="C18" s="86">
        <v>6</v>
      </c>
      <c r="D18" s="87"/>
      <c r="E18" s="87"/>
      <c r="F18" s="86">
        <v>3</v>
      </c>
      <c r="I18" s="84">
        <v>13</v>
      </c>
      <c r="J18" s="85" t="s">
        <v>238</v>
      </c>
    </row>
    <row r="19" spans="2:10">
      <c r="B19" s="87"/>
      <c r="C19" s="87"/>
      <c r="D19" s="87"/>
      <c r="E19" s="87"/>
      <c r="F19" s="86">
        <f>5/2</f>
        <v>2.5</v>
      </c>
      <c r="I19" s="84">
        <v>14</v>
      </c>
      <c r="J19" s="85" t="s">
        <v>239</v>
      </c>
    </row>
    <row r="20" spans="2:10">
      <c r="B20" s="86" t="s">
        <v>240</v>
      </c>
      <c r="C20" s="86">
        <v>8</v>
      </c>
      <c r="D20" s="87"/>
      <c r="E20" s="87"/>
      <c r="F20" s="86">
        <f>2</f>
        <v>2</v>
      </c>
      <c r="I20" s="84">
        <v>15</v>
      </c>
      <c r="J20" s="85" t="s">
        <v>241</v>
      </c>
    </row>
    <row r="21" spans="2:10">
      <c r="B21" s="86" t="s">
        <v>242</v>
      </c>
      <c r="C21" s="86">
        <v>7</v>
      </c>
      <c r="D21" s="87"/>
      <c r="E21" s="87"/>
      <c r="F21" s="86">
        <f>3/2</f>
        <v>1.5</v>
      </c>
      <c r="I21" s="84">
        <v>16</v>
      </c>
      <c r="J21" s="85" t="s">
        <v>243</v>
      </c>
    </row>
    <row r="22" spans="2:10">
      <c r="B22" s="86" t="s">
        <v>244</v>
      </c>
      <c r="C22" s="84">
        <v>6</v>
      </c>
      <c r="E22" s="87"/>
      <c r="F22" s="86">
        <f>1</f>
        <v>1</v>
      </c>
    </row>
    <row r="23" spans="2:10">
      <c r="B23" s="86" t="s">
        <v>245</v>
      </c>
      <c r="C23" s="84">
        <v>5</v>
      </c>
      <c r="E23" s="87"/>
      <c r="F23" s="87"/>
    </row>
    <row r="24" spans="2:10">
      <c r="B24" s="86" t="s">
        <v>158</v>
      </c>
      <c r="C24" s="86">
        <v>4</v>
      </c>
    </row>
    <row r="25" spans="2:10">
      <c r="B25" s="86" t="s">
        <v>246</v>
      </c>
      <c r="C25" s="86">
        <v>3</v>
      </c>
    </row>
    <row r="26" spans="2:10">
      <c r="B26" s="86" t="s">
        <v>159</v>
      </c>
      <c r="C26" s="86">
        <v>2</v>
      </c>
    </row>
    <row r="27" spans="2:10">
      <c r="B27" s="86" t="s">
        <v>247</v>
      </c>
      <c r="C27" s="86">
        <v>1</v>
      </c>
    </row>
    <row r="28" spans="2:10">
      <c r="B28" s="87"/>
    </row>
    <row r="29" spans="2:10">
      <c r="B29" s="87"/>
    </row>
    <row r="30" spans="2:10">
      <c r="B30" s="87"/>
    </row>
    <row r="31" spans="2:10">
      <c r="B31" s="87"/>
    </row>
    <row r="32" spans="2:10">
      <c r="B32" s="84" t="s">
        <v>229</v>
      </c>
      <c r="C32" s="89" t="s">
        <v>248</v>
      </c>
      <c r="D32" s="90"/>
    </row>
    <row r="33" spans="2:9">
      <c r="B33" s="86" t="s">
        <v>227</v>
      </c>
      <c r="C33" s="89" t="s">
        <v>249</v>
      </c>
      <c r="D33" s="90"/>
    </row>
    <row r="34" spans="2:9">
      <c r="B34" s="86" t="s">
        <v>226</v>
      </c>
      <c r="C34" s="89" t="s">
        <v>250</v>
      </c>
      <c r="D34" s="90"/>
      <c r="G34" s="91"/>
    </row>
    <row r="35" spans="2:9">
      <c r="B35" s="86" t="s">
        <v>224</v>
      </c>
      <c r="C35" s="89" t="s">
        <v>251</v>
      </c>
      <c r="D35" s="90"/>
      <c r="G35" s="92"/>
      <c r="H35" s="87"/>
      <c r="I35" s="87"/>
    </row>
    <row r="36" spans="2:9" ht="14.5">
      <c r="B36" s="87"/>
      <c r="C36" s="90"/>
      <c r="D36" s="90"/>
      <c r="G36" s="93"/>
    </row>
  </sheetData>
  <sheetProtection algorithmName="SHA-512" hashValue="BgXfQK/IRFg5b2PvZFrsgmgvP127Qrntk4bMuL+G1967beI5K/z+PC8KLiUCPETyrE9V9hDlaue/1b/kPtSx1Q==" saltValue="Ug9UY3Xlhwc/3pz6QEl9hQ==" spinCount="100000" sheet="1" objects="1" scenarios="1"/>
  <pageMargins left="0.7" right="0.7" top="0.75" bottom="0.75" header="0.3" footer="0.3"/>
  <headerFooter>
    <oddHeader>&amp;C&amp;"Calibri"&amp;12&amp;K000000 CONFIDENTIAL&amp;1#_x000D_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T2"/>
  <sheetViews>
    <sheetView workbookViewId="0"/>
  </sheetViews>
  <sheetFormatPr defaultColWidth="9.26953125" defaultRowHeight="12.5"/>
  <cols>
    <col min="1" max="1" width="16.7265625" style="82" customWidth="1"/>
    <col min="2" max="2" width="16.7265625" style="83" customWidth="1"/>
    <col min="3" max="3" width="16.7265625" style="82" customWidth="1"/>
    <col min="4" max="4" width="16.7265625" style="83" customWidth="1"/>
    <col min="5" max="5" width="16.7265625" style="82" customWidth="1"/>
    <col min="6" max="6" width="16.7265625" style="83" customWidth="1"/>
    <col min="7" max="7" width="16.7265625" style="82" customWidth="1"/>
    <col min="8" max="8" width="16.7265625" style="83" customWidth="1"/>
    <col min="9" max="9" width="16.7265625" style="82" customWidth="1"/>
    <col min="10" max="10" width="16.7265625" style="83" customWidth="1"/>
    <col min="11" max="11" width="16.7265625" style="82" customWidth="1"/>
    <col min="12" max="12" width="16.7265625" style="83" customWidth="1"/>
    <col min="13" max="13" width="16.7265625" style="82" customWidth="1"/>
    <col min="14" max="14" width="16.7265625" style="83" customWidth="1"/>
    <col min="15" max="15" width="16.7265625" style="82" customWidth="1"/>
    <col min="16" max="16" width="16.7265625" style="83" customWidth="1"/>
    <col min="17" max="16384" width="9.26953125" style="80"/>
  </cols>
  <sheetData>
    <row r="1" spans="1:20" s="81" customFormat="1" ht="13">
      <c r="A1" s="78">
        <v>1</v>
      </c>
      <c r="B1" s="79">
        <v>2</v>
      </c>
      <c r="C1" s="78">
        <v>3</v>
      </c>
      <c r="D1" s="79">
        <v>4</v>
      </c>
      <c r="E1" s="78">
        <v>5</v>
      </c>
      <c r="F1" s="79">
        <v>6</v>
      </c>
      <c r="G1" s="78">
        <v>7</v>
      </c>
      <c r="H1" s="79">
        <v>8</v>
      </c>
      <c r="I1" s="78">
        <v>9</v>
      </c>
      <c r="J1" s="79">
        <v>10</v>
      </c>
      <c r="K1" s="78">
        <v>11</v>
      </c>
      <c r="L1" s="79">
        <v>12</v>
      </c>
      <c r="M1" s="78">
        <v>13</v>
      </c>
      <c r="N1" s="79">
        <v>14</v>
      </c>
      <c r="O1" s="78">
        <v>15</v>
      </c>
      <c r="P1" s="79">
        <v>16</v>
      </c>
      <c r="Q1" s="80"/>
      <c r="R1" s="80"/>
      <c r="S1" s="80"/>
      <c r="T1" s="80"/>
    </row>
    <row r="2" spans="1:20">
      <c r="F2" s="83" t="s">
        <v>321</v>
      </c>
    </row>
  </sheetData>
  <pageMargins left="0.7" right="0.7" top="0.75" bottom="0.75" header="0.3" footer="0.3"/>
  <headerFooter>
    <oddHeader>&amp;C&amp;"Calibri"&amp;12&amp;K000000 CONFIDENTIAL&amp;1#_x000D_</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3:P41"/>
  <sheetViews>
    <sheetView workbookViewId="0">
      <selection activeCell="G10" sqref="G10"/>
    </sheetView>
  </sheetViews>
  <sheetFormatPr defaultRowHeight="14.5"/>
  <cols>
    <col min="9" max="9" width="10.26953125" bestFit="1" customWidth="1"/>
    <col min="13" max="13" width="11.7265625" style="1" bestFit="1" customWidth="1"/>
    <col min="15" max="16" width="13.453125" customWidth="1"/>
  </cols>
  <sheetData>
    <row r="3" spans="1:16">
      <c r="A3" s="4"/>
      <c r="L3" s="4" t="s">
        <v>137</v>
      </c>
    </row>
    <row r="4" spans="1:16">
      <c r="A4" s="4" t="s">
        <v>119</v>
      </c>
      <c r="L4" s="42" t="s">
        <v>127</v>
      </c>
      <c r="M4" s="43" t="s">
        <v>139</v>
      </c>
    </row>
    <row r="5" spans="1:16">
      <c r="A5" s="1">
        <v>1</v>
      </c>
      <c r="B5" t="s">
        <v>120</v>
      </c>
      <c r="L5" s="11" t="s">
        <v>138</v>
      </c>
      <c r="M5" s="12">
        <v>1</v>
      </c>
    </row>
    <row r="6" spans="1:16">
      <c r="A6" s="1">
        <v>2</v>
      </c>
      <c r="B6" t="s">
        <v>121</v>
      </c>
      <c r="L6" s="11" t="s">
        <v>140</v>
      </c>
      <c r="M6" s="12" t="s">
        <v>141</v>
      </c>
    </row>
    <row r="7" spans="1:16">
      <c r="A7" s="1">
        <v>3</v>
      </c>
      <c r="B7" s="51" t="s">
        <v>122</v>
      </c>
      <c r="C7" s="51"/>
      <c r="L7" s="11" t="s">
        <v>142</v>
      </c>
      <c r="M7" s="12">
        <v>2</v>
      </c>
    </row>
    <row r="8" spans="1:16">
      <c r="A8" s="1"/>
      <c r="L8" s="11" t="s">
        <v>143</v>
      </c>
      <c r="M8" s="12" t="s">
        <v>144</v>
      </c>
    </row>
    <row r="9" spans="1:16">
      <c r="A9" s="1"/>
      <c r="L9" s="11" t="s">
        <v>145</v>
      </c>
      <c r="M9" s="12">
        <v>3</v>
      </c>
    </row>
    <row r="10" spans="1:16">
      <c r="A10" s="1"/>
      <c r="L10" s="11" t="s">
        <v>146</v>
      </c>
      <c r="M10" s="12" t="s">
        <v>147</v>
      </c>
    </row>
    <row r="11" spans="1:16">
      <c r="A11" s="1"/>
      <c r="L11" s="11" t="s">
        <v>148</v>
      </c>
      <c r="M11" s="12">
        <v>4</v>
      </c>
    </row>
    <row r="12" spans="1:16">
      <c r="A12" s="1"/>
      <c r="L12" s="11" t="s">
        <v>149</v>
      </c>
      <c r="M12" s="12" t="s">
        <v>150</v>
      </c>
    </row>
    <row r="13" spans="1:16">
      <c r="A13" s="1"/>
    </row>
    <row r="14" spans="1:16">
      <c r="A14" s="4" t="s">
        <v>123</v>
      </c>
    </row>
    <row r="15" spans="1:16">
      <c r="A15" s="4" t="s">
        <v>155</v>
      </c>
      <c r="G15" s="4" t="s">
        <v>156</v>
      </c>
      <c r="H15" s="4"/>
    </row>
    <row r="16" spans="1:16">
      <c r="J16" s="422" t="s">
        <v>127</v>
      </c>
      <c r="K16" s="422"/>
      <c r="L16" s="422"/>
      <c r="M16" s="422"/>
      <c r="N16" s="422"/>
      <c r="O16" s="423" t="s">
        <v>152</v>
      </c>
      <c r="P16" s="423" t="s">
        <v>94</v>
      </c>
    </row>
    <row r="17" spans="1:16">
      <c r="A17" s="44" t="s">
        <v>128</v>
      </c>
      <c r="B17" s="43" t="s">
        <v>127</v>
      </c>
      <c r="D17" s="44" t="s">
        <v>128</v>
      </c>
      <c r="E17" s="43" t="s">
        <v>127</v>
      </c>
      <c r="G17" s="44" t="s">
        <v>128</v>
      </c>
      <c r="H17" s="47" t="s">
        <v>154</v>
      </c>
      <c r="I17" s="43" t="s">
        <v>153</v>
      </c>
      <c r="J17" s="12">
        <v>1</v>
      </c>
      <c r="K17" s="12">
        <v>2</v>
      </c>
      <c r="L17" s="12">
        <v>3</v>
      </c>
      <c r="M17" s="12">
        <v>4</v>
      </c>
      <c r="N17" s="12">
        <v>5</v>
      </c>
      <c r="O17" s="423"/>
      <c r="P17" s="423"/>
    </row>
    <row r="18" spans="1:16">
      <c r="A18" s="45" t="s">
        <v>124</v>
      </c>
      <c r="B18" s="12">
        <v>3</v>
      </c>
      <c r="D18" s="45" t="s">
        <v>124</v>
      </c>
      <c r="E18" s="12">
        <v>3</v>
      </c>
      <c r="G18" s="45" t="s">
        <v>124</v>
      </c>
      <c r="H18" s="48">
        <v>0</v>
      </c>
      <c r="I18" s="46">
        <v>1</v>
      </c>
      <c r="J18" s="12"/>
      <c r="K18" s="12"/>
      <c r="L18" s="12" t="s">
        <v>151</v>
      </c>
      <c r="M18" s="12"/>
      <c r="N18" s="12"/>
      <c r="O18" s="12">
        <v>0</v>
      </c>
      <c r="P18" s="12">
        <f>3-O18</f>
        <v>3</v>
      </c>
    </row>
    <row r="19" spans="1:16">
      <c r="A19" s="45" t="s">
        <v>125</v>
      </c>
      <c r="B19" s="12">
        <v>4</v>
      </c>
      <c r="D19" s="45" t="s">
        <v>125</v>
      </c>
      <c r="E19" s="12">
        <v>4</v>
      </c>
      <c r="G19" s="45" t="s">
        <v>125</v>
      </c>
      <c r="H19" s="48">
        <v>1</v>
      </c>
      <c r="I19" s="46">
        <v>0.9</v>
      </c>
      <c r="J19" s="12"/>
      <c r="K19" s="12"/>
      <c r="L19" s="12" t="s">
        <v>151</v>
      </c>
      <c r="M19" s="12"/>
      <c r="N19" s="12"/>
      <c r="O19" s="12">
        <v>0.5</v>
      </c>
      <c r="P19" s="12">
        <f t="shared" ref="P19:P27" si="0">3-O19</f>
        <v>2.5</v>
      </c>
    </row>
    <row r="20" spans="1:16">
      <c r="A20" s="45" t="s">
        <v>126</v>
      </c>
      <c r="B20" s="12">
        <v>2</v>
      </c>
      <c r="D20" s="45" t="s">
        <v>126</v>
      </c>
      <c r="E20" s="12">
        <v>2</v>
      </c>
      <c r="G20" s="45" t="s">
        <v>126</v>
      </c>
      <c r="H20" s="48">
        <v>2</v>
      </c>
      <c r="I20" s="46">
        <v>0.8</v>
      </c>
      <c r="J20" s="12"/>
      <c r="K20" s="12"/>
      <c r="L20" s="12" t="s">
        <v>151</v>
      </c>
      <c r="M20" s="12"/>
      <c r="N20" s="12"/>
      <c r="O20" s="12">
        <v>0.5</v>
      </c>
      <c r="P20" s="12">
        <f t="shared" si="0"/>
        <v>2.5</v>
      </c>
    </row>
    <row r="21" spans="1:16">
      <c r="A21" s="45" t="s">
        <v>129</v>
      </c>
      <c r="B21" s="12" t="s">
        <v>136</v>
      </c>
      <c r="D21" s="45" t="s">
        <v>129</v>
      </c>
      <c r="E21" s="12" t="s">
        <v>136</v>
      </c>
      <c r="G21" s="45" t="s">
        <v>129</v>
      </c>
      <c r="H21" s="48">
        <v>3</v>
      </c>
      <c r="I21" s="46">
        <v>0.7</v>
      </c>
      <c r="J21" s="12"/>
      <c r="K21" s="12"/>
      <c r="L21" s="12" t="s">
        <v>151</v>
      </c>
      <c r="M21" s="12"/>
      <c r="N21" s="12"/>
      <c r="O21" s="12">
        <v>1</v>
      </c>
      <c r="P21" s="12">
        <f t="shared" si="0"/>
        <v>2</v>
      </c>
    </row>
    <row r="22" spans="1:16">
      <c r="A22" s="45" t="s">
        <v>130</v>
      </c>
      <c r="B22" s="12" t="s">
        <v>136</v>
      </c>
      <c r="D22" s="45" t="s">
        <v>130</v>
      </c>
      <c r="E22" s="12" t="s">
        <v>136</v>
      </c>
      <c r="G22" s="45" t="s">
        <v>130</v>
      </c>
      <c r="H22" s="48">
        <v>4</v>
      </c>
      <c r="I22" s="46">
        <v>0.6</v>
      </c>
      <c r="J22" s="12"/>
      <c r="K22" s="12"/>
      <c r="L22" s="12" t="s">
        <v>151</v>
      </c>
      <c r="M22" s="12"/>
      <c r="N22" s="12"/>
      <c r="O22" s="12">
        <v>1</v>
      </c>
      <c r="P22" s="12">
        <f t="shared" si="0"/>
        <v>2</v>
      </c>
    </row>
    <row r="23" spans="1:16">
      <c r="A23" s="45" t="s">
        <v>131</v>
      </c>
      <c r="B23" s="12">
        <v>3</v>
      </c>
      <c r="D23" s="45" t="s">
        <v>131</v>
      </c>
      <c r="E23" s="12">
        <v>3</v>
      </c>
      <c r="G23" s="45" t="s">
        <v>131</v>
      </c>
      <c r="H23" s="48">
        <v>5</v>
      </c>
      <c r="I23" s="46">
        <v>0.5</v>
      </c>
      <c r="J23" s="12"/>
      <c r="K23" s="12"/>
      <c r="L23" s="12" t="s">
        <v>151</v>
      </c>
      <c r="M23" s="12"/>
      <c r="N23" s="12"/>
      <c r="O23" s="12">
        <v>1</v>
      </c>
      <c r="P23" s="12">
        <f t="shared" si="0"/>
        <v>2</v>
      </c>
    </row>
    <row r="24" spans="1:16">
      <c r="A24" s="45" t="s">
        <v>132</v>
      </c>
      <c r="B24" s="12">
        <v>3</v>
      </c>
      <c r="D24" s="45" t="s">
        <v>132</v>
      </c>
      <c r="E24" s="12">
        <v>3</v>
      </c>
      <c r="G24" s="45" t="s">
        <v>132</v>
      </c>
      <c r="H24" s="48">
        <v>6</v>
      </c>
      <c r="I24" s="46">
        <v>0.4</v>
      </c>
      <c r="J24" s="12"/>
      <c r="K24" s="12"/>
      <c r="L24" s="12" t="s">
        <v>151</v>
      </c>
      <c r="M24" s="12"/>
      <c r="N24" s="12"/>
      <c r="O24" s="12">
        <v>1.5</v>
      </c>
      <c r="P24" s="12">
        <f t="shared" si="0"/>
        <v>1.5</v>
      </c>
    </row>
    <row r="25" spans="1:16">
      <c r="A25" s="45" t="s">
        <v>133</v>
      </c>
      <c r="B25" s="12">
        <v>4</v>
      </c>
      <c r="D25" s="45" t="s">
        <v>133</v>
      </c>
      <c r="E25" s="12" t="s">
        <v>136</v>
      </c>
      <c r="G25" s="45" t="s">
        <v>133</v>
      </c>
      <c r="H25" s="48">
        <v>7</v>
      </c>
      <c r="I25" s="46">
        <v>0.3</v>
      </c>
      <c r="J25" s="12"/>
      <c r="K25" s="12"/>
      <c r="L25" s="12" t="s">
        <v>151</v>
      </c>
      <c r="M25" s="12"/>
      <c r="N25" s="12"/>
      <c r="O25" s="12">
        <v>1.5</v>
      </c>
      <c r="P25" s="12">
        <f t="shared" si="0"/>
        <v>1.5</v>
      </c>
    </row>
    <row r="26" spans="1:16">
      <c r="A26" s="45" t="s">
        <v>134</v>
      </c>
      <c r="B26" s="12">
        <v>2</v>
      </c>
      <c r="D26" s="45" t="s">
        <v>134</v>
      </c>
      <c r="E26" s="12">
        <v>2</v>
      </c>
      <c r="G26" s="45" t="s">
        <v>134</v>
      </c>
      <c r="H26" s="48">
        <v>8</v>
      </c>
      <c r="I26" s="46">
        <v>0.2</v>
      </c>
      <c r="J26" s="12"/>
      <c r="K26" s="12"/>
      <c r="L26" s="12" t="s">
        <v>151</v>
      </c>
      <c r="M26" s="12"/>
      <c r="N26" s="12"/>
      <c r="O26" s="12">
        <v>2</v>
      </c>
      <c r="P26" s="12">
        <f t="shared" si="0"/>
        <v>1</v>
      </c>
    </row>
    <row r="27" spans="1:16">
      <c r="A27" s="45" t="s">
        <v>135</v>
      </c>
      <c r="B27" s="12">
        <v>3</v>
      </c>
      <c r="D27" s="45" t="s">
        <v>135</v>
      </c>
      <c r="E27" s="12">
        <v>3</v>
      </c>
      <c r="G27" s="45" t="s">
        <v>135</v>
      </c>
      <c r="H27" s="48">
        <v>9</v>
      </c>
      <c r="I27" s="46">
        <v>0.1</v>
      </c>
      <c r="J27" s="12"/>
      <c r="K27" s="12"/>
      <c r="L27" s="12" t="s">
        <v>151</v>
      </c>
      <c r="M27" s="12"/>
      <c r="N27" s="12"/>
      <c r="O27" s="12">
        <v>2</v>
      </c>
      <c r="P27" s="12">
        <f t="shared" si="0"/>
        <v>1</v>
      </c>
    </row>
    <row r="28" spans="1:16">
      <c r="B28" s="12">
        <f>AVERAGE(B23:B27,B18:B20)</f>
        <v>3</v>
      </c>
      <c r="E28" s="12">
        <f>AVERAGE(E26:E27,E23:E24,E18:E20)</f>
        <v>2.8571428571428572</v>
      </c>
    </row>
    <row r="29" spans="1:16">
      <c r="E29" s="5" t="s">
        <v>144</v>
      </c>
      <c r="G29" s="44" t="s">
        <v>128</v>
      </c>
      <c r="H29" s="43" t="s">
        <v>127</v>
      </c>
      <c r="K29" s="44" t="s">
        <v>128</v>
      </c>
      <c r="L29" s="43" t="s">
        <v>127</v>
      </c>
    </row>
    <row r="30" spans="1:16">
      <c r="G30" s="45" t="s">
        <v>124</v>
      </c>
      <c r="H30" s="12">
        <v>3</v>
      </c>
      <c r="K30" s="45" t="s">
        <v>124</v>
      </c>
      <c r="L30" s="12">
        <v>3</v>
      </c>
    </row>
    <row r="31" spans="1:16">
      <c r="G31" s="45" t="s">
        <v>125</v>
      </c>
      <c r="H31" s="12">
        <v>4</v>
      </c>
      <c r="K31" s="45" t="s">
        <v>125</v>
      </c>
      <c r="L31" s="12">
        <v>4</v>
      </c>
    </row>
    <row r="32" spans="1:16">
      <c r="G32" s="45" t="s">
        <v>126</v>
      </c>
      <c r="H32" s="12">
        <v>2</v>
      </c>
      <c r="K32" s="45" t="s">
        <v>126</v>
      </c>
      <c r="L32" s="12">
        <v>2</v>
      </c>
    </row>
    <row r="33" spans="7:13">
      <c r="G33" s="45" t="s">
        <v>129</v>
      </c>
      <c r="H33" s="12" t="s">
        <v>136</v>
      </c>
      <c r="K33" s="45" t="s">
        <v>129</v>
      </c>
      <c r="L33" s="12" t="s">
        <v>136</v>
      </c>
    </row>
    <row r="34" spans="7:13">
      <c r="G34" s="45" t="s">
        <v>130</v>
      </c>
      <c r="H34" s="12" t="s">
        <v>136</v>
      </c>
      <c r="K34" s="45" t="s">
        <v>130</v>
      </c>
      <c r="L34" s="12" t="s">
        <v>136</v>
      </c>
    </row>
    <row r="35" spans="7:13">
      <c r="G35" s="45" t="s">
        <v>131</v>
      </c>
      <c r="H35" s="12">
        <v>3</v>
      </c>
      <c r="K35" s="45" t="s">
        <v>131</v>
      </c>
      <c r="L35" s="12">
        <v>3</v>
      </c>
    </row>
    <row r="36" spans="7:13">
      <c r="G36" s="45" t="s">
        <v>132</v>
      </c>
      <c r="H36" s="12">
        <v>3</v>
      </c>
      <c r="K36" s="45" t="s">
        <v>132</v>
      </c>
      <c r="L36" s="12">
        <v>3</v>
      </c>
    </row>
    <row r="37" spans="7:13">
      <c r="G37" s="45" t="s">
        <v>133</v>
      </c>
      <c r="H37" s="12">
        <v>4</v>
      </c>
      <c r="K37" s="45" t="s">
        <v>133</v>
      </c>
      <c r="L37" s="12" t="s">
        <v>136</v>
      </c>
    </row>
    <row r="38" spans="7:13">
      <c r="G38" s="45" t="s">
        <v>134</v>
      </c>
      <c r="H38" s="12">
        <v>2</v>
      </c>
      <c r="K38" s="45" t="s">
        <v>134</v>
      </c>
      <c r="L38" s="12">
        <v>2</v>
      </c>
    </row>
    <row r="39" spans="7:13">
      <c r="G39" s="45" t="s">
        <v>135</v>
      </c>
      <c r="H39" s="12">
        <v>3</v>
      </c>
      <c r="K39" s="45" t="s">
        <v>135</v>
      </c>
      <c r="L39" s="12">
        <v>3</v>
      </c>
    </row>
    <row r="40" spans="7:13">
      <c r="H40" s="12">
        <f>AVERAGE(H35:H39,H30:H32)</f>
        <v>3</v>
      </c>
      <c r="I40" s="49">
        <f>H40-O20</f>
        <v>2.5</v>
      </c>
      <c r="L40" s="12">
        <f>AVERAGE(L38:L39,L35:L36,L30:L32)</f>
        <v>2.8571428571428572</v>
      </c>
    </row>
    <row r="41" spans="7:13">
      <c r="L41" s="5">
        <v>2.5</v>
      </c>
      <c r="M41" s="49">
        <f>L41-O21</f>
        <v>1.5</v>
      </c>
    </row>
  </sheetData>
  <mergeCells count="3">
    <mergeCell ref="J16:N16"/>
    <mergeCell ref="O16:O17"/>
    <mergeCell ref="P16:P17"/>
  </mergeCells>
  <pageMargins left="0.7" right="0.7" top="0.75" bottom="0.75" header="0.3" footer="0.3"/>
  <headerFooter>
    <oddHeader>&amp;C&amp;"Calibri"&amp;12&amp;K000000 CONFIDENTIAL&amp;1#_x000D_</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Petunjuk Penggunaan</vt:lpstr>
      <vt:lpstr>Sheet Simulasi</vt:lpstr>
      <vt:lpstr>Tegar Avrilia</vt:lpstr>
      <vt:lpstr>Summary</vt:lpstr>
      <vt:lpstr>HAVDiagram</vt:lpstr>
      <vt:lpstr>Kategori</vt:lpstr>
      <vt:lpstr>Kuadran8</vt:lpstr>
      <vt:lpstr>'HAV Map'!Print_Area</vt:lpstr>
      <vt:lpstr>'Petunjuk Penggunaan'!Print_Area</vt:lpstr>
      <vt:lpstr>'Sheet Simulasi'!Print_Area</vt:lpstr>
      <vt:lpstr>Summary!Print_Area</vt:lpstr>
      <vt:lpstr>'Tegar Avrilia'!Print_Area</vt:lpstr>
      <vt:lpstr>TabelC8</vt:lpstr>
      <vt:lpstr>TabelR8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Shirley</dc:creator>
  <cp:lastModifiedBy>Rafie Afif Andika</cp:lastModifiedBy>
  <cp:lastPrinted>2021-03-09T07:40:28Z</cp:lastPrinted>
  <dcterms:created xsi:type="dcterms:W3CDTF">2021-03-09T03:22:12Z</dcterms:created>
  <dcterms:modified xsi:type="dcterms:W3CDTF">2025-03-18T03:15:31Z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f3b6be3-01df-46e9-9d34-390795710876_Enabled">
    <vt:lpwstr>true</vt:lpwstr>
  </property>
  <property fmtid="{D5CDD505-2E9C-101B-9397-08002B2CF9AE}" pid="3" name="MSIP_Label_7f3b6be3-01df-46e9-9d34-390795710876_SetDate">
    <vt:lpwstr>2021-04-09T06:11:33Z</vt:lpwstr>
  </property>
  <property fmtid="{D5CDD505-2E9C-101B-9397-08002B2CF9AE}" pid="4" name="MSIP_Label_7f3b6be3-01df-46e9-9d34-390795710876_Method">
    <vt:lpwstr>Privileged</vt:lpwstr>
  </property>
  <property fmtid="{D5CDD505-2E9C-101B-9397-08002B2CF9AE}" pid="5" name="MSIP_Label_7f3b6be3-01df-46e9-9d34-390795710876_Name">
    <vt:lpwstr>CONFIDENTIAL</vt:lpwstr>
  </property>
  <property fmtid="{D5CDD505-2E9C-101B-9397-08002B2CF9AE}" pid="6" name="MSIP_Label_7f3b6be3-01df-46e9-9d34-390795710876_SiteId">
    <vt:lpwstr>5a0b86e1-3af7-4d16-a63e-afe55beab795</vt:lpwstr>
  </property>
  <property fmtid="{D5CDD505-2E9C-101B-9397-08002B2CF9AE}" pid="7" name="MSIP_Label_7f3b6be3-01df-46e9-9d34-390795710876_ActionId">
    <vt:lpwstr>899d8df7-bac3-47cd-b110-9909023982b0</vt:lpwstr>
  </property>
  <property fmtid="{D5CDD505-2E9C-101B-9397-08002B2CF9AE}" pid="8" name="MSIP_Label_7f3b6be3-01df-46e9-9d34-390795710876_ContentBits">
    <vt:lpwstr>1</vt:lpwstr>
  </property>
</Properties>
</file>